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hidePivotFieldList="1" defaultThemeVersion="124226"/>
  <bookViews>
    <workbookView xWindow="240" yWindow="195" windowWidth="20055" windowHeight="7890" tabRatio="530" activeTab="2"/>
  </bookViews>
  <sheets>
    <sheet name="Resultados" sheetId="3" r:id="rId1"/>
    <sheet name="Especificações Técnicas" sheetId="1" r:id="rId2"/>
    <sheet name="Cálculo do esforço mecânico" sheetId="2" r:id="rId3"/>
  </sheets>
  <definedNames>
    <definedName name="Cabo_aéreo_autossuportado_com_núcleo_seco_com_vão_máximo_de_80m_de_2_a_12_fibras_ópticas" comment="98">'Cálculo do esforço mecânico'!#REF!</definedName>
  </definedNames>
  <calcPr calcId="144525"/>
</workbook>
</file>

<file path=xl/calcChain.xml><?xml version="1.0" encoding="utf-8"?>
<calcChain xmlns="http://schemas.openxmlformats.org/spreadsheetml/2006/main">
  <c r="D8" i="2" l="1"/>
  <c r="U41" i="2" l="1"/>
  <c r="D24" i="2" s="1"/>
  <c r="E36" i="1" l="1"/>
  <c r="G34" i="1"/>
  <c r="I40" i="1"/>
  <c r="I39" i="1"/>
  <c r="I38" i="1"/>
  <c r="I37" i="1"/>
  <c r="I36" i="1"/>
  <c r="I35" i="1"/>
  <c r="I34" i="1"/>
  <c r="H40" i="1"/>
  <c r="H39" i="1"/>
  <c r="H38" i="1"/>
  <c r="H37" i="1"/>
  <c r="H36" i="1"/>
  <c r="H35" i="1"/>
  <c r="H34" i="1"/>
  <c r="G40" i="1"/>
  <c r="G39" i="1"/>
  <c r="G38" i="1"/>
  <c r="G37" i="1"/>
  <c r="G36" i="1"/>
  <c r="G35" i="1"/>
  <c r="F40" i="1"/>
  <c r="F39" i="1"/>
  <c r="F38" i="1"/>
  <c r="F37" i="1"/>
  <c r="F36" i="1"/>
  <c r="F35" i="1"/>
  <c r="F34" i="1"/>
  <c r="E39" i="1"/>
  <c r="E38" i="1"/>
  <c r="E37" i="1"/>
  <c r="E35" i="1"/>
  <c r="E34" i="1"/>
  <c r="E40" i="1"/>
  <c r="D40" i="1"/>
  <c r="D39" i="1"/>
  <c r="D38" i="1"/>
  <c r="D37" i="1"/>
  <c r="D36" i="1"/>
  <c r="D35" i="1"/>
  <c r="D34" i="1"/>
  <c r="I55" i="1"/>
  <c r="I54" i="1"/>
  <c r="I53" i="1"/>
  <c r="I52" i="1"/>
  <c r="I51" i="1"/>
  <c r="I50" i="1"/>
  <c r="H55" i="1"/>
  <c r="H54" i="1"/>
  <c r="H53" i="1"/>
  <c r="H52" i="1"/>
  <c r="H51" i="1"/>
  <c r="H50" i="1"/>
  <c r="G55" i="1"/>
  <c r="G54" i="1"/>
  <c r="G53" i="1"/>
  <c r="G52" i="1"/>
  <c r="G51" i="1"/>
  <c r="G50" i="1"/>
  <c r="F55" i="1"/>
  <c r="F54" i="1"/>
  <c r="F53" i="1"/>
  <c r="F52" i="1"/>
  <c r="F51" i="1"/>
  <c r="F50" i="1"/>
  <c r="E55" i="1"/>
  <c r="E54" i="1"/>
  <c r="E53" i="1"/>
  <c r="E52" i="1"/>
  <c r="E51" i="1"/>
  <c r="E50" i="1"/>
  <c r="D55" i="1"/>
  <c r="D54" i="1"/>
  <c r="D53" i="1"/>
  <c r="D52" i="1"/>
  <c r="D51" i="1"/>
  <c r="D50" i="1"/>
  <c r="F23" i="1"/>
  <c r="F22" i="1"/>
  <c r="F21" i="1"/>
  <c r="F20" i="1"/>
  <c r="F19" i="1"/>
  <c r="F18" i="1"/>
  <c r="E23" i="1"/>
  <c r="E22" i="1"/>
  <c r="E21" i="1"/>
  <c r="E20" i="1"/>
  <c r="E19" i="1"/>
  <c r="E18" i="1"/>
  <c r="D23" i="1"/>
  <c r="D22" i="1"/>
  <c r="D21" i="1"/>
  <c r="D20" i="1"/>
  <c r="D19" i="1"/>
  <c r="D18" i="1"/>
  <c r="F10" i="1"/>
  <c r="F9" i="1"/>
  <c r="F8" i="1"/>
  <c r="F7" i="1"/>
  <c r="F6" i="1"/>
  <c r="F5" i="1"/>
  <c r="F4" i="1"/>
  <c r="E10" i="1"/>
  <c r="E9" i="1"/>
  <c r="E8" i="1"/>
  <c r="E7" i="1"/>
  <c r="E6" i="1"/>
  <c r="E5" i="1"/>
  <c r="E4" i="1"/>
  <c r="D10" i="1"/>
  <c r="D9" i="1"/>
  <c r="D8" i="1"/>
  <c r="D7" i="1"/>
  <c r="D6" i="1"/>
  <c r="D5" i="1"/>
  <c r="D4" i="1"/>
  <c r="F20" i="2"/>
  <c r="F19" i="2"/>
  <c r="E24" i="2"/>
  <c r="C17" i="2" l="1"/>
  <c r="E9" i="2"/>
  <c r="E8" i="2" l="1"/>
  <c r="D17" i="2" l="1"/>
  <c r="E17" i="2" l="1"/>
  <c r="E18" i="2" s="1"/>
  <c r="C24" i="2" l="1"/>
  <c r="F24" i="2" s="1"/>
  <c r="E30" i="2" l="1"/>
  <c r="Y13" i="2"/>
</calcChain>
</file>

<file path=xl/sharedStrings.xml><?xml version="1.0" encoding="utf-8"?>
<sst xmlns="http://schemas.openxmlformats.org/spreadsheetml/2006/main" count="119" uniqueCount="82">
  <si>
    <t>Quantidade total de fibras ópticas</t>
  </si>
  <si>
    <t>02 a 12</t>
  </si>
  <si>
    <t>18 a 36</t>
  </si>
  <si>
    <t>60 e 72</t>
  </si>
  <si>
    <t>Cabos aéreos autossuportados com núcleo seco</t>
  </si>
  <si>
    <t>Cabos aéreos autossuportados com núcleo geleado</t>
  </si>
  <si>
    <t>48 a 72</t>
  </si>
  <si>
    <t>Massa nominal (kg/km) vão maximo de 80m</t>
  </si>
  <si>
    <t>Massa nominal (kg/km) vão maximo de 120m</t>
  </si>
  <si>
    <t>Massa nominal (kg/km) vão maximo de 200m</t>
  </si>
  <si>
    <t>Revestimento externo NR</t>
  </si>
  <si>
    <t>Revestimento externo RC</t>
  </si>
  <si>
    <t>H = COMPONENTE HORIZONTAL, DEVIDO AO VENTO (kg/m)</t>
  </si>
  <si>
    <t>P= Pressão do vento por unidade de área (kg/m2) = 50 kg/m2</t>
  </si>
  <si>
    <t>D = Diâmetro do cabo (m) - Para metro = mm/100 = m</t>
  </si>
  <si>
    <t>R = CARGA RESULTANTE - RAIZ (P)^2 + (H)^2</t>
  </si>
  <si>
    <t>P = Peso próprio do cabo (kg/m)</t>
  </si>
  <si>
    <t>T = ESFORÇO TOTAL (kgf)</t>
  </si>
  <si>
    <t>f = Flecha (m) - 2,5% do vão</t>
  </si>
  <si>
    <t>CFOA</t>
  </si>
  <si>
    <t>P</t>
  </si>
  <si>
    <t>H</t>
  </si>
  <si>
    <t>kg/m</t>
  </si>
  <si>
    <t xml:space="preserve">Quant. Cabos </t>
  </si>
  <si>
    <t>Cabo aéreo autossuportado com núcleo seco com vão máximo de 80m de 2 a 12 fibras ópticas</t>
  </si>
  <si>
    <t>Cabo aéreo autossuportado com núcleo seco com vão máximo de 80m de 18 a 36 fibras ópticas</t>
  </si>
  <si>
    <t>Cabo aéreo autossuportado com núcleo seco com vão máximo de 80m de 48 fibras ópticas</t>
  </si>
  <si>
    <t>Cabo aéreo autossuportado com núcleo seco com vão máximo de 80m de 60 e 72 fibras ópticas</t>
  </si>
  <si>
    <t>Cabo aéreo autossuportado com núcleo seco com vão máximo de 80m de 96 fibras ópticas</t>
  </si>
  <si>
    <t>Cabo aéreo autossuportado com núcleo seco com vão máximo de 80m de 144 fibras ópticas</t>
  </si>
  <si>
    <t>Cabo aéreo autossuportado com núcleo seco com vão máximo de 120m de 2 a 12 fibras ópticas</t>
  </si>
  <si>
    <t>Cabo aéreo autossuportado com núcleo seco com vão máximo de 200m de 2 a 12 fibras ópticas</t>
  </si>
  <si>
    <t>Cabo aéreo autossuportado com núcleo seco com vão máximo de 120m de 18 a 36 fibras ópticas</t>
  </si>
  <si>
    <t>Cabo aéreo autossuportado com núcleo seco com vão máximo de 120m de 48 fibras ópticas</t>
  </si>
  <si>
    <t>Cabo aéreo autossuportado com núcleo seco com vão máximo de 120m de 60 e 72 fibras ópticas</t>
  </si>
  <si>
    <t>Cabo aéreo autossuportado com núcleo seco com vão máximo de 120m de 96 fibras ópticas</t>
  </si>
  <si>
    <t>Cabo aéreo autossuportado com núcleo seco com vão máximo de 120m de 144 fibras ópticas</t>
  </si>
  <si>
    <t>Cabo aéreo autossuportado com núcleo seco com vão máximo de 200m de 18 a 36 fibras ópticas</t>
  </si>
  <si>
    <t>Cabo aéreo autossuportado com núcleo seco com vão máximo de 200m de 48 fibras ópticas</t>
  </si>
  <si>
    <t>Cabo aéreo autossuportado com núcleo seco com vão máximo de 200m de 96 fibras ópticas</t>
  </si>
  <si>
    <t>Cabo aéreo autossuportado com núcleo seco com vão máximo de 200m de 60 e 72 fibras ópticas</t>
  </si>
  <si>
    <t>Cabo aéreo autossuportado com núcleo seco com vão máximo de 200m de 144 fibras ópticas</t>
  </si>
  <si>
    <t>Cabo aéreo autossuportado com núcleo geleado com vão máximo de 80m de 2 a 12 fibras ópticas</t>
  </si>
  <si>
    <t>Cabo aéreo autossuportado com núcleo geleado com vão máximo de 80m de 18 a 36 fibras ópticas</t>
  </si>
  <si>
    <t>Cabo aéreo autossuportado com núcleo geleado com vão máximo de 80m de 48 a 72 fibras ópticas</t>
  </si>
  <si>
    <t>Cabo aéreo autossuportado com núcleo geleado com vão máximo de 80m 120 fibras ópticas</t>
  </si>
  <si>
    <t>Cabo aéreo autossuportado com núcleo geleado com vão máximo de 80m de 144 fibras ópticas</t>
  </si>
  <si>
    <t>Cabo aéreo autossuportado com núcleo geleado com vão máximo de 80m de 96 fibras ópticas</t>
  </si>
  <si>
    <t>Cabo aéreo autossuportado com núcleo geleado com vão máximo de 120m de 2 a 12 fibras ópticas</t>
  </si>
  <si>
    <t>Cabo aéreo autossuportado com núcleo geleado com vão máximo de 120m de 18 a 36 fibras ópticas</t>
  </si>
  <si>
    <t>Cabo aéreo autossuportado com núcleo geleado com vão máximo de 120m de 48 a 72 fibras ópticas</t>
  </si>
  <si>
    <t>Cabo aéreo autossuportado com núcleo geleado com vão máximo de 120m de 96 fibras ópticas</t>
  </si>
  <si>
    <t>Cabo aéreo autossuportado com núcleo geleado com vão máximo de 120m 120 fibras ópticas</t>
  </si>
  <si>
    <t>Cabo aéreo autossuportado com núcleo geleado com vão máximo de 120m de 144 fibras ópticas</t>
  </si>
  <si>
    <t>Cabo aéreo autossuportado com núcleo geleado com vão máximo de 200m de 2 a 12 fibras ópticas</t>
  </si>
  <si>
    <t>Cabo aéreo autossuportado com núcleo geleado com vão máximo de 200m de 18 a 36 fibras ópticas</t>
  </si>
  <si>
    <t>Cabo aéreo autossuportado com núcleo geleado com vão máximo de 200m de 48 a 72 fibras ópticas</t>
  </si>
  <si>
    <t>Cabo aéreo autossuportado com núcleo geleado com vão máximo de 200m de 96 fibras ópticas</t>
  </si>
  <si>
    <t>Cabo aéreo autossuportado com núcleo geleado com vão máximo de 200m 120 fibras ópticas</t>
  </si>
  <si>
    <t>Cabo aéreo autossuportado com núcleo geleado com vão máximo de 200m de 144 fibras ópticas</t>
  </si>
  <si>
    <t>Camada de material termoplástico na cor preta (NR)</t>
  </si>
  <si>
    <t>Camada de material termoplástico na cor preta do tipo retardante a chamas (RC)</t>
  </si>
  <si>
    <t>R</t>
  </si>
  <si>
    <t>kgf</t>
  </si>
  <si>
    <t>Quant. Cabos</t>
  </si>
  <si>
    <t>DETERMINAR T</t>
  </si>
  <si>
    <t>L</t>
  </si>
  <si>
    <t>F</t>
  </si>
  <si>
    <t>T</t>
  </si>
  <si>
    <t>Adicione aqui as metragens entre os vãos</t>
  </si>
  <si>
    <t>TOTAL</t>
  </si>
  <si>
    <t>Diâmetro externo (m) para um vão máximo de 200m</t>
  </si>
  <si>
    <t>Diâmetro externo (m) para um vão máximo de 120m</t>
  </si>
  <si>
    <t>Diâmetro externo (m) para um vão máximo de 80m</t>
  </si>
  <si>
    <t>Cabo aéreo autossuportado com núcleo seco com vão máximo de 80m de 120 fibras ópticas</t>
  </si>
  <si>
    <t>Cabo aéreo autossuportado com núcleo seco com vão máximo de 120m de 120 fibras ópticas</t>
  </si>
  <si>
    <t>Cabo aéreo autossuportado com núcleo seco com vão máximo de 200m de 120 fibras ópticas</t>
  </si>
  <si>
    <t>L = Média do vão entre postes (m)</t>
  </si>
  <si>
    <t>R = Carga resultante (kg/m)</t>
  </si>
  <si>
    <t>H = Componente horizontal (kg/m)</t>
  </si>
  <si>
    <t>Tipos de cabos para o cálculo</t>
  </si>
  <si>
    <t>ZERAR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</si>
</sst>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2"/>
      <color rgb="FFFFC000"/>
      <name val="Arial"/>
      <family val="2"/>
    </font>
    <font>
      <b/>
      <sz val="12"/>
      <name val="Arial"/>
      <family val="2"/>
    </font>
    <font>
      <sz val="12"/>
      <color rgb="FFFFC000"/>
      <name val="Arial"/>
      <family val="2"/>
    </font>
    <font>
      <sz val="12"/>
      <name val="Arial"/>
      <family val="2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8"/>
      <color rgb="FF00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0" fontId="1" fillId="4" borderId="1" xfId="0" applyFont="1" applyFill="1" applyBorder="1"/>
    <xf numFmtId="0" fontId="4" fillId="5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164" fontId="4" fillId="5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/>
    <xf numFmtId="0" fontId="1" fillId="8" borderId="1" xfId="0" applyFont="1" applyFill="1" applyBorder="1"/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/>
    <xf numFmtId="0" fontId="1" fillId="9" borderId="1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2" fontId="1" fillId="9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6" fontId="1" fillId="9" borderId="1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5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3" fillId="5" borderId="1" xfId="0" applyFont="1" applyFill="1" applyBorder="1"/>
    <xf numFmtId="2" fontId="3" fillId="5" borderId="1" xfId="0" applyNumberFormat="1" applyFont="1" applyFill="1" applyBorder="1" applyAlignment="1">
      <alignment horizontal="center"/>
    </xf>
    <xf numFmtId="0" fontId="4" fillId="5" borderId="1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164" fontId="1" fillId="8" borderId="1" xfId="0" applyNumberFormat="1" applyFont="1" applyFill="1" applyBorder="1"/>
    <xf numFmtId="165" fontId="1" fillId="3" borderId="1" xfId="0" applyNumberFormat="1" applyFont="1" applyFill="1" applyBorder="1" applyAlignment="1">
      <alignment horizontal="center"/>
    </xf>
    <xf numFmtId="0" fontId="0" fillId="2" borderId="4" xfId="0" applyFill="1" applyBorder="1" applyAlignment="1"/>
    <xf numFmtId="0" fontId="0" fillId="2" borderId="1" xfId="0" applyFill="1" applyBorder="1" applyAlignment="1">
      <alignment horizontal="left"/>
    </xf>
    <xf numFmtId="0" fontId="6" fillId="5" borderId="1" xfId="0" applyFont="1" applyFill="1" applyBorder="1"/>
    <xf numFmtId="16" fontId="7" fillId="4" borderId="1" xfId="0" applyNumberFormat="1" applyFont="1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 wrapText="1"/>
    </xf>
    <xf numFmtId="165" fontId="7" fillId="4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166" fontId="8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left"/>
    </xf>
    <xf numFmtId="0" fontId="3" fillId="6" borderId="0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right"/>
    </xf>
    <xf numFmtId="0" fontId="2" fillId="6" borderId="0" xfId="0" applyFont="1" applyFill="1" applyBorder="1" applyAlignment="1">
      <alignment horizontal="right"/>
    </xf>
    <xf numFmtId="0" fontId="4" fillId="7" borderId="2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right"/>
    </xf>
    <xf numFmtId="0" fontId="3" fillId="6" borderId="0" xfId="0" applyFont="1" applyFill="1" applyBorder="1" applyAlignment="1">
      <alignment horizontal="right"/>
    </xf>
    <xf numFmtId="0" fontId="4" fillId="7" borderId="2" xfId="0" applyFont="1" applyFill="1" applyBorder="1" applyAlignment="1">
      <alignment horizontal="left" vertical="center"/>
    </xf>
    <xf numFmtId="0" fontId="4" fillId="7" borderId="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4" fillId="5" borderId="0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5" borderId="0" xfId="0" applyFont="1" applyFill="1" applyBorder="1" applyAlignment="1">
      <alignment horizontal="center" wrapText="1"/>
    </xf>
    <xf numFmtId="0" fontId="4" fillId="5" borderId="3" xfId="0" applyFont="1" applyFill="1" applyBorder="1" applyAlignment="1">
      <alignment horizontal="center" wrapText="1"/>
    </xf>
    <xf numFmtId="0" fontId="4" fillId="5" borderId="0" xfId="0" applyFont="1" applyFill="1" applyAlignment="1">
      <alignment horizont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7</xdr:row>
      <xdr:rowOff>76200</xdr:rowOff>
    </xdr:from>
    <xdr:to>
      <xdr:col>5</xdr:col>
      <xdr:colOff>38100</xdr:colOff>
      <xdr:row>23</xdr:row>
      <xdr:rowOff>57149</xdr:rowOff>
    </xdr:to>
    <xdr:sp macro="" textlink="'Cálculo do esforço mecânico'!D24">
      <xdr:nvSpPr>
        <xdr:cNvPr id="8" name="Retângulo 7"/>
        <xdr:cNvSpPr/>
      </xdr:nvSpPr>
      <xdr:spPr>
        <a:xfrm>
          <a:off x="638175" y="1409700"/>
          <a:ext cx="2457450" cy="302894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631666FF-11B8-4C03-92C0-A5B59CD841CF}" type="TxLink">
            <a:rPr lang="pt-BR" sz="6000"/>
            <a:pPr algn="ctr"/>
            <a:t>31,25</a:t>
          </a:fld>
          <a:endParaRPr lang="pt-BR" sz="6000"/>
        </a:p>
      </xdr:txBody>
    </xdr:sp>
    <xdr:clientData/>
  </xdr:twoCellAnchor>
  <xdr:twoCellAnchor>
    <xdr:from>
      <xdr:col>5</xdr:col>
      <xdr:colOff>190500</xdr:colOff>
      <xdr:row>7</xdr:row>
      <xdr:rowOff>9525</xdr:rowOff>
    </xdr:from>
    <xdr:to>
      <xdr:col>9</xdr:col>
      <xdr:colOff>209550</xdr:colOff>
      <xdr:row>23</xdr:row>
      <xdr:rowOff>66675</xdr:rowOff>
    </xdr:to>
    <xdr:sp macro="" textlink="'Cálculo do esforço mecânico'!E8">
      <xdr:nvSpPr>
        <xdr:cNvPr id="9" name="Retângulo 8"/>
        <xdr:cNvSpPr/>
      </xdr:nvSpPr>
      <xdr:spPr>
        <a:xfrm>
          <a:off x="3248025" y="1343025"/>
          <a:ext cx="2457450" cy="31051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068F2619-5931-4DA8-B5D7-59420B7959F3}" type="TxLink">
            <a:rPr lang="pt-BR" sz="6000"/>
            <a:pPr algn="ctr"/>
            <a:t>0,53</a:t>
          </a:fld>
          <a:endParaRPr lang="pt-BR" sz="6000"/>
        </a:p>
      </xdr:txBody>
    </xdr:sp>
    <xdr:clientData/>
  </xdr:twoCellAnchor>
  <xdr:twoCellAnchor>
    <xdr:from>
      <xdr:col>9</xdr:col>
      <xdr:colOff>409575</xdr:colOff>
      <xdr:row>7</xdr:row>
      <xdr:rowOff>38100</xdr:rowOff>
    </xdr:from>
    <xdr:to>
      <xdr:col>13</xdr:col>
      <xdr:colOff>428625</xdr:colOff>
      <xdr:row>23</xdr:row>
      <xdr:rowOff>66674</xdr:rowOff>
    </xdr:to>
    <xdr:sp macro="" textlink="'Cálculo do esforço mecânico'!E18">
      <xdr:nvSpPr>
        <xdr:cNvPr id="10" name="Retângulo 9"/>
        <xdr:cNvSpPr/>
      </xdr:nvSpPr>
      <xdr:spPr>
        <a:xfrm>
          <a:off x="5905500" y="1371600"/>
          <a:ext cx="2457450" cy="3076574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3991FBBB-BDFB-4FD5-ABE7-E7D9A97E65A2}" type="TxLink">
            <a:rPr lang="pt-BR" sz="6000"/>
            <a:pPr algn="ctr"/>
            <a:t>0,5362</a:t>
          </a:fld>
          <a:endParaRPr lang="pt-BR" sz="6000"/>
        </a:p>
      </xdr:txBody>
    </xdr:sp>
    <xdr:clientData/>
  </xdr:twoCellAnchor>
  <xdr:twoCellAnchor>
    <xdr:from>
      <xdr:col>14</xdr:col>
      <xdr:colOff>9525</xdr:colOff>
      <xdr:row>7</xdr:row>
      <xdr:rowOff>57151</xdr:rowOff>
    </xdr:from>
    <xdr:to>
      <xdr:col>18</xdr:col>
      <xdr:colOff>28575</xdr:colOff>
      <xdr:row>23</xdr:row>
      <xdr:rowOff>66675</xdr:rowOff>
    </xdr:to>
    <xdr:sp macro="" textlink="'Cálculo do esforço mecânico'!F24">
      <xdr:nvSpPr>
        <xdr:cNvPr id="11" name="Retângulo 10"/>
        <xdr:cNvSpPr/>
      </xdr:nvSpPr>
      <xdr:spPr>
        <a:xfrm>
          <a:off x="8553450" y="1390651"/>
          <a:ext cx="2457450" cy="3057524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4AACBA70-C501-484E-83A2-331C4E5F4C50}" type="TxLink">
            <a:rPr lang="pt-BR" sz="6000"/>
            <a:pPr algn="ctr"/>
            <a:t>83,8</a:t>
          </a:fld>
          <a:endParaRPr lang="pt-BR" sz="6000"/>
        </a:p>
      </xdr:txBody>
    </xdr:sp>
    <xdr:clientData/>
  </xdr:twoCellAnchor>
  <xdr:twoCellAnchor>
    <xdr:from>
      <xdr:col>14</xdr:col>
      <xdr:colOff>9525</xdr:colOff>
      <xdr:row>7</xdr:row>
      <xdr:rowOff>1</xdr:rowOff>
    </xdr:from>
    <xdr:to>
      <xdr:col>18</xdr:col>
      <xdr:colOff>28575</xdr:colOff>
      <xdr:row>12</xdr:row>
      <xdr:rowOff>47625</xdr:rowOff>
    </xdr:to>
    <xdr:sp macro="" textlink="'Cálculo do esforço mecânico'!K21">
      <xdr:nvSpPr>
        <xdr:cNvPr id="15" name="Retângulo 14"/>
        <xdr:cNvSpPr/>
      </xdr:nvSpPr>
      <xdr:spPr>
        <a:xfrm>
          <a:off x="8553450" y="1333501"/>
          <a:ext cx="2457450" cy="1000124"/>
        </a:xfrm>
        <a:prstGeom prst="rect">
          <a:avLst/>
        </a:prstGeom>
        <a:solidFill>
          <a:schemeClr val="tx1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8F9FB034-695B-4226-ACD2-82FEAFDD3FD4}" type="TxLink">
            <a:rPr lang="pt-BR" sz="2000">
              <a:solidFill>
                <a:srgbClr val="FFC000"/>
              </a:solidFill>
            </a:rPr>
            <a:pPr algn="ctr"/>
            <a:t>T = ESFORÇO TOTAL (kgf)</a:t>
          </a:fld>
          <a:endParaRPr lang="pt-BR" sz="2000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28575</xdr:colOff>
      <xdr:row>7</xdr:row>
      <xdr:rowOff>19050</xdr:rowOff>
    </xdr:from>
    <xdr:to>
      <xdr:col>5</xdr:col>
      <xdr:colOff>47625</xdr:colOff>
      <xdr:row>12</xdr:row>
      <xdr:rowOff>38099</xdr:rowOff>
    </xdr:to>
    <xdr:sp macro="" textlink="'Cálculo do esforço mecânico'!K23">
      <xdr:nvSpPr>
        <xdr:cNvPr id="16" name="Retângulo 15"/>
        <xdr:cNvSpPr/>
      </xdr:nvSpPr>
      <xdr:spPr>
        <a:xfrm>
          <a:off x="638175" y="1352550"/>
          <a:ext cx="2466975" cy="971549"/>
        </a:xfrm>
        <a:prstGeom prst="rect">
          <a:avLst/>
        </a:prstGeom>
        <a:solidFill>
          <a:schemeClr val="tx1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383E7E85-EEAD-49C9-8A81-8AE6A0AAC68E}" type="TxLink">
            <a:rPr lang="pt-BR" sz="2000">
              <a:solidFill>
                <a:srgbClr val="FFC000"/>
              </a:solidFill>
            </a:rPr>
            <a:pPr algn="ctr"/>
            <a:t>L = Média do vão entre postes (m)</a:t>
          </a:fld>
          <a:endParaRPr lang="pt-BR" sz="2000">
            <a:solidFill>
              <a:srgbClr val="FFC000"/>
            </a:solidFill>
          </a:endParaRPr>
        </a:p>
      </xdr:txBody>
    </xdr:sp>
    <xdr:clientData/>
  </xdr:twoCellAnchor>
  <xdr:twoCellAnchor>
    <xdr:from>
      <xdr:col>9</xdr:col>
      <xdr:colOff>409575</xdr:colOff>
      <xdr:row>7</xdr:row>
      <xdr:rowOff>0</xdr:rowOff>
    </xdr:from>
    <xdr:to>
      <xdr:col>13</xdr:col>
      <xdr:colOff>428625</xdr:colOff>
      <xdr:row>12</xdr:row>
      <xdr:rowOff>47624</xdr:rowOff>
    </xdr:to>
    <xdr:sp macro="" textlink="'Cálculo do esforço mecânico'!K22">
      <xdr:nvSpPr>
        <xdr:cNvPr id="17" name="Retângulo 16"/>
        <xdr:cNvSpPr/>
      </xdr:nvSpPr>
      <xdr:spPr>
        <a:xfrm>
          <a:off x="5905500" y="1333500"/>
          <a:ext cx="2457450" cy="1000124"/>
        </a:xfrm>
        <a:prstGeom prst="rect">
          <a:avLst/>
        </a:prstGeom>
        <a:solidFill>
          <a:schemeClr val="tx1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C932A754-CD32-4259-9886-8F600B367ED3}" type="TxLink">
            <a:rPr lang="pt-BR" sz="2000">
              <a:solidFill>
                <a:srgbClr val="FFC000"/>
              </a:solidFill>
            </a:rPr>
            <a:pPr algn="ctr"/>
            <a:t>R = Carga resultante (kg/m)</a:t>
          </a:fld>
          <a:endParaRPr lang="pt-BR" sz="2000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190501</xdr:colOff>
      <xdr:row>7</xdr:row>
      <xdr:rowOff>9525</xdr:rowOff>
    </xdr:from>
    <xdr:to>
      <xdr:col>9</xdr:col>
      <xdr:colOff>209551</xdr:colOff>
      <xdr:row>12</xdr:row>
      <xdr:rowOff>47625</xdr:rowOff>
    </xdr:to>
    <xdr:sp macro="" textlink="'Cálculo do esforço mecânico'!K18">
      <xdr:nvSpPr>
        <xdr:cNvPr id="18" name="Retângulo 17"/>
        <xdr:cNvSpPr/>
      </xdr:nvSpPr>
      <xdr:spPr>
        <a:xfrm>
          <a:off x="3248026" y="1343025"/>
          <a:ext cx="2457450" cy="990600"/>
        </a:xfrm>
        <a:prstGeom prst="rect">
          <a:avLst/>
        </a:prstGeom>
        <a:solidFill>
          <a:schemeClr val="tx1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8F58975A-B1E4-4796-B466-4C74F427F966}" type="TxLink">
            <a:rPr lang="pt-BR" sz="2000">
              <a:solidFill>
                <a:srgbClr val="FFC000"/>
              </a:solidFill>
            </a:rPr>
            <a:pPr algn="ctr"/>
            <a:t>H = Componente horizontal (kg/m)</a:t>
          </a:fld>
          <a:endParaRPr lang="pt-BR" sz="2000">
            <a:solidFill>
              <a:srgbClr val="FFC000"/>
            </a:solidFill>
          </a:endParaRPr>
        </a:p>
      </xdr:txBody>
    </xdr:sp>
    <xdr:clientData/>
  </xdr:twoCellAnchor>
  <xdr:twoCellAnchor editAs="oneCell">
    <xdr:from>
      <xdr:col>0</xdr:col>
      <xdr:colOff>180975</xdr:colOff>
      <xdr:row>0</xdr:row>
      <xdr:rowOff>66675</xdr:rowOff>
    </xdr:from>
    <xdr:to>
      <xdr:col>2</xdr:col>
      <xdr:colOff>112119</xdr:colOff>
      <xdr:row>6</xdr:row>
      <xdr:rowOff>76199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7F7F7"/>
            </a:clrFrom>
            <a:clrTo>
              <a:srgbClr val="F7F7F7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1150344" cy="1152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1</xdr:col>
      <xdr:colOff>523875</xdr:colOff>
      <xdr:row>2</xdr:row>
      <xdr:rowOff>745062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7F7F7"/>
            </a:clrFrom>
            <a:clrTo>
              <a:srgbClr val="F7F7F7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9050"/>
          <a:ext cx="1114425" cy="11165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95250</xdr:rowOff>
    </xdr:from>
    <xdr:to>
      <xdr:col>1</xdr:col>
      <xdr:colOff>1114425</xdr:colOff>
      <xdr:row>4</xdr:row>
      <xdr:rowOff>449787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7F7F7"/>
            </a:clrFrom>
            <a:clrTo>
              <a:srgbClr val="F7F7F7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95250"/>
          <a:ext cx="1114425" cy="1116537"/>
        </a:xfrm>
        <a:prstGeom prst="rect">
          <a:avLst/>
        </a:prstGeom>
      </xdr:spPr>
    </xdr:pic>
    <xdr:clientData/>
  </xdr:twoCellAnchor>
  <xdr:twoCellAnchor>
    <xdr:from>
      <xdr:col>6</xdr:col>
      <xdr:colOff>347381</xdr:colOff>
      <xdr:row>1</xdr:row>
      <xdr:rowOff>89648</xdr:rowOff>
    </xdr:from>
    <xdr:to>
      <xdr:col>9</xdr:col>
      <xdr:colOff>224117</xdr:colOff>
      <xdr:row>4</xdr:row>
      <xdr:rowOff>448235</xdr:rowOff>
    </xdr:to>
    <xdr:sp macro="" textlink="">
      <xdr:nvSpPr>
        <xdr:cNvPr id="3" name="Retângulo 2"/>
        <xdr:cNvSpPr/>
      </xdr:nvSpPr>
      <xdr:spPr>
        <a:xfrm>
          <a:off x="10275793" y="280148"/>
          <a:ext cx="1961030" cy="93008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latin typeface="Arial" pitchFamily="34" charset="0"/>
              <a:cs typeface="Arial" pitchFamily="34" charset="0"/>
            </a:rPr>
            <a:t>Altere o tipo</a:t>
          </a:r>
          <a:r>
            <a:rPr lang="pt-BR" sz="1200" b="1" baseline="0">
              <a:latin typeface="Arial" pitchFamily="34" charset="0"/>
              <a:cs typeface="Arial" pitchFamily="34" charset="0"/>
            </a:rPr>
            <a:t> de cabo de acordo com a necessidade do projeto. </a:t>
          </a:r>
          <a:endParaRPr lang="pt-BR" sz="12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</xdr:col>
      <xdr:colOff>4997824</xdr:colOff>
      <xdr:row>3</xdr:row>
      <xdr:rowOff>78441</xdr:rowOff>
    </xdr:from>
    <xdr:to>
      <xdr:col>6</xdr:col>
      <xdr:colOff>280147</xdr:colOff>
      <xdr:row>4</xdr:row>
      <xdr:rowOff>705971</xdr:rowOff>
    </xdr:to>
    <xdr:cxnSp macro="">
      <xdr:nvCxnSpPr>
        <xdr:cNvPr id="5" name="Conector de seta reta 4"/>
        <xdr:cNvCxnSpPr/>
      </xdr:nvCxnSpPr>
      <xdr:spPr>
        <a:xfrm flipH="1">
          <a:off x="8023412" y="649941"/>
          <a:ext cx="2185147" cy="81803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555809</xdr:colOff>
      <xdr:row>3</xdr:row>
      <xdr:rowOff>6723</xdr:rowOff>
    </xdr:from>
    <xdr:to>
      <xdr:col>27</xdr:col>
      <xdr:colOff>96368</xdr:colOff>
      <xdr:row>4</xdr:row>
      <xdr:rowOff>746310</xdr:rowOff>
    </xdr:to>
    <xdr:sp macro="" textlink="">
      <xdr:nvSpPr>
        <xdr:cNvPr id="6" name="Retângulo 5"/>
        <xdr:cNvSpPr/>
      </xdr:nvSpPr>
      <xdr:spPr>
        <a:xfrm>
          <a:off x="24088162" y="578223"/>
          <a:ext cx="1961030" cy="93008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latin typeface="Arial" pitchFamily="34" charset="0"/>
              <a:cs typeface="Arial" pitchFamily="34" charset="0"/>
            </a:rPr>
            <a:t>Adicione todas as metragem</a:t>
          </a:r>
          <a:r>
            <a:rPr lang="pt-BR" sz="1200" b="1" baseline="0">
              <a:latin typeface="Arial" pitchFamily="34" charset="0"/>
              <a:cs typeface="Arial" pitchFamily="34" charset="0"/>
            </a:rPr>
            <a:t> do trecho do vão que você estiver trabalhando.</a:t>
          </a:r>
          <a:endParaRPr lang="pt-BR" sz="12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156882</xdr:colOff>
      <xdr:row>4</xdr:row>
      <xdr:rowOff>281267</xdr:rowOff>
    </xdr:from>
    <xdr:to>
      <xdr:col>23</xdr:col>
      <xdr:colOff>555809</xdr:colOff>
      <xdr:row>6</xdr:row>
      <xdr:rowOff>67236</xdr:rowOff>
    </xdr:to>
    <xdr:cxnSp macro="">
      <xdr:nvCxnSpPr>
        <xdr:cNvPr id="7" name="Conector de seta reta 6"/>
        <xdr:cNvCxnSpPr>
          <a:stCxn id="6" idx="1"/>
        </xdr:cNvCxnSpPr>
      </xdr:nvCxnSpPr>
      <xdr:spPr>
        <a:xfrm flipH="1">
          <a:off x="22479000" y="1043267"/>
          <a:ext cx="1609162" cy="79449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4</xdr:row>
          <xdr:rowOff>790575</xdr:rowOff>
        </xdr:from>
        <xdr:to>
          <xdr:col>26</xdr:col>
          <xdr:colOff>590550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ZERAR</a:t>
              </a:r>
            </a:p>
            <a:p>
              <a:pPr algn="ctr" rtl="0">
                <a:defRPr sz="1000"/>
              </a:pPr>
              <a:endParaRPr lang="pt-BR" sz="18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S8" sqref="S8"/>
    </sheetView>
  </sheetViews>
  <sheetFormatPr defaultColWidth="9.140625" defaultRowHeight="15" x14ac:dyDescent="0.25"/>
  <cols>
    <col min="1" max="3" width="9.140625" style="1"/>
    <col min="4" max="4" width="9.28515625" style="1" customWidth="1"/>
    <col min="5" max="16384" width="9.140625" style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C2:K55"/>
  <sheetViews>
    <sheetView topLeftCell="A25" workbookViewId="0">
      <selection activeCell="D50" sqref="D50"/>
    </sheetView>
  </sheetViews>
  <sheetFormatPr defaultColWidth="9.140625" defaultRowHeight="15" x14ac:dyDescent="0.25"/>
  <cols>
    <col min="1" max="2" width="9.140625" style="1"/>
    <col min="3" max="3" width="12.5703125" style="1" customWidth="1"/>
    <col min="4" max="5" width="15.85546875" style="1" customWidth="1"/>
    <col min="6" max="6" width="15.7109375" style="1" customWidth="1"/>
    <col min="7" max="7" width="16.28515625" style="1" customWidth="1"/>
    <col min="8" max="8" width="16.7109375" style="1" customWidth="1"/>
    <col min="9" max="9" width="15.140625" style="1" customWidth="1"/>
    <col min="10" max="16384" width="9.140625" style="1"/>
  </cols>
  <sheetData>
    <row r="2" spans="3:11" ht="15.75" x14ac:dyDescent="0.25">
      <c r="C2" s="36" t="s">
        <v>4</v>
      </c>
      <c r="D2" s="36"/>
      <c r="E2" s="36"/>
      <c r="F2" s="36"/>
      <c r="G2" s="7"/>
      <c r="H2" s="7"/>
    </row>
    <row r="3" spans="3:11" ht="75" x14ac:dyDescent="0.25">
      <c r="C3" s="34" t="s">
        <v>0</v>
      </c>
      <c r="D3" s="34" t="s">
        <v>73</v>
      </c>
      <c r="E3" s="34" t="s">
        <v>72</v>
      </c>
      <c r="F3" s="34" t="s">
        <v>71</v>
      </c>
      <c r="G3" s="25"/>
      <c r="H3" s="25"/>
      <c r="I3" s="25"/>
      <c r="J3" s="25"/>
      <c r="K3" s="25"/>
    </row>
    <row r="4" spans="3:11" ht="15.75" x14ac:dyDescent="0.25">
      <c r="C4" s="31" t="s">
        <v>1</v>
      </c>
      <c r="D4" s="35">
        <f>10.6/1000</f>
        <v>1.06E-2</v>
      </c>
      <c r="E4" s="35">
        <f>10.6/1000</f>
        <v>1.06E-2</v>
      </c>
      <c r="F4" s="35">
        <f>11/1000</f>
        <v>1.0999999999999999E-2</v>
      </c>
      <c r="G4" s="6"/>
      <c r="H4" s="6"/>
    </row>
    <row r="5" spans="3:11" ht="15.75" x14ac:dyDescent="0.25">
      <c r="C5" s="33" t="s">
        <v>2</v>
      </c>
      <c r="D5" s="35">
        <f>11.5/1000</f>
        <v>1.15E-2</v>
      </c>
      <c r="E5" s="35">
        <f>11.5/1000</f>
        <v>1.15E-2</v>
      </c>
      <c r="F5" s="35">
        <f>11.9/1000</f>
        <v>1.1900000000000001E-2</v>
      </c>
      <c r="G5" s="6"/>
      <c r="H5" s="6"/>
    </row>
    <row r="6" spans="3:11" ht="15.75" x14ac:dyDescent="0.25">
      <c r="C6" s="33">
        <v>48</v>
      </c>
      <c r="D6" s="35">
        <f>11.9/1000</f>
        <v>1.1900000000000001E-2</v>
      </c>
      <c r="E6" s="35">
        <f>11.9/1000</f>
        <v>1.1900000000000001E-2</v>
      </c>
      <c r="F6" s="35">
        <f>12.3/1000</f>
        <v>1.23E-2</v>
      </c>
      <c r="G6" s="6"/>
      <c r="H6" s="6"/>
    </row>
    <row r="7" spans="3:11" ht="15.75" x14ac:dyDescent="0.25">
      <c r="C7" s="33" t="s">
        <v>3</v>
      </c>
      <c r="D7" s="35">
        <f>12.9/1000</f>
        <v>1.29E-2</v>
      </c>
      <c r="E7" s="35">
        <f>12.9/1000</f>
        <v>1.29E-2</v>
      </c>
      <c r="F7" s="35">
        <f>13.3/1000</f>
        <v>1.3300000000000001E-2</v>
      </c>
      <c r="G7" s="6"/>
      <c r="H7" s="6"/>
    </row>
    <row r="8" spans="3:11" ht="15.75" x14ac:dyDescent="0.25">
      <c r="C8" s="33">
        <v>96</v>
      </c>
      <c r="D8" s="35">
        <f>14/1000</f>
        <v>1.4E-2</v>
      </c>
      <c r="E8" s="35">
        <f>14/1000</f>
        <v>1.4E-2</v>
      </c>
      <c r="F8" s="35">
        <f>14.7/1000</f>
        <v>1.47E-2</v>
      </c>
      <c r="G8" s="6"/>
      <c r="H8" s="6"/>
    </row>
    <row r="9" spans="3:11" ht="15.75" x14ac:dyDescent="0.25">
      <c r="C9" s="33">
        <v>120</v>
      </c>
      <c r="D9" s="35">
        <f>15.8/1000</f>
        <v>1.5800000000000002E-2</v>
      </c>
      <c r="E9" s="35">
        <f>16/1000</f>
        <v>1.6E-2</v>
      </c>
      <c r="F9" s="35">
        <f>16.4/1000</f>
        <v>1.6399999999999998E-2</v>
      </c>
      <c r="G9" s="6"/>
      <c r="H9" s="6"/>
    </row>
    <row r="10" spans="3:11" ht="15.75" x14ac:dyDescent="0.25">
      <c r="C10" s="33">
        <v>144</v>
      </c>
      <c r="D10" s="35">
        <f>18.2/1000</f>
        <v>1.8200000000000001E-2</v>
      </c>
      <c r="E10" s="35">
        <f>18.2/1000</f>
        <v>1.8200000000000001E-2</v>
      </c>
      <c r="F10" s="35">
        <f>18.8/1000</f>
        <v>1.8800000000000001E-2</v>
      </c>
      <c r="G10" s="6"/>
      <c r="H10" s="6"/>
    </row>
    <row r="16" spans="3:11" ht="15.75" x14ac:dyDescent="0.25">
      <c r="C16" s="36" t="s">
        <v>5</v>
      </c>
      <c r="D16" s="36"/>
      <c r="E16" s="36"/>
      <c r="F16" s="36"/>
      <c r="G16" s="7"/>
      <c r="H16" s="7"/>
    </row>
    <row r="17" spans="3:9" ht="75" x14ac:dyDescent="0.25">
      <c r="C17" s="34" t="s">
        <v>0</v>
      </c>
      <c r="D17" s="34" t="s">
        <v>73</v>
      </c>
      <c r="E17" s="34" t="s">
        <v>72</v>
      </c>
      <c r="F17" s="34" t="s">
        <v>71</v>
      </c>
      <c r="G17" s="25"/>
      <c r="H17" s="25"/>
    </row>
    <row r="18" spans="3:9" ht="15.75" x14ac:dyDescent="0.25">
      <c r="C18" s="31" t="s">
        <v>1</v>
      </c>
      <c r="D18" s="35">
        <f>11.4/1000</f>
        <v>1.14E-2</v>
      </c>
      <c r="E18" s="35">
        <f>11.4/1000</f>
        <v>1.14E-2</v>
      </c>
      <c r="F18" s="35">
        <f>11.8/1000</f>
        <v>1.1800000000000001E-2</v>
      </c>
      <c r="G18" s="6"/>
      <c r="H18" s="6"/>
    </row>
    <row r="19" spans="3:9" ht="15.75" x14ac:dyDescent="0.25">
      <c r="C19" s="33" t="s">
        <v>2</v>
      </c>
      <c r="D19" s="35">
        <f>11.4/1000</f>
        <v>1.14E-2</v>
      </c>
      <c r="E19" s="35">
        <f>11.4/1000</f>
        <v>1.14E-2</v>
      </c>
      <c r="F19" s="35">
        <f>12.2/1000</f>
        <v>1.2199999999999999E-2</v>
      </c>
      <c r="G19" s="6"/>
      <c r="H19" s="6"/>
    </row>
    <row r="20" spans="3:9" ht="15.75" x14ac:dyDescent="0.25">
      <c r="C20" s="33" t="s">
        <v>6</v>
      </c>
      <c r="D20" s="35">
        <f>12.8/1000</f>
        <v>1.2800000000000001E-2</v>
      </c>
      <c r="E20" s="35">
        <f>13.2/1000</f>
        <v>1.32E-2</v>
      </c>
      <c r="F20" s="35">
        <f>13.6/1000</f>
        <v>1.3599999999999999E-2</v>
      </c>
      <c r="G20" s="6"/>
      <c r="H20" s="6"/>
    </row>
    <row r="21" spans="3:9" ht="15.75" x14ac:dyDescent="0.25">
      <c r="C21" s="33">
        <v>96</v>
      </c>
      <c r="D21" s="35">
        <f>14.8/1000</f>
        <v>1.4800000000000001E-2</v>
      </c>
      <c r="E21" s="35">
        <f>14.8/1000</f>
        <v>1.4800000000000001E-2</v>
      </c>
      <c r="F21" s="35">
        <f>15.6/1000</f>
        <v>1.5599999999999999E-2</v>
      </c>
      <c r="G21" s="6"/>
      <c r="H21" s="6"/>
    </row>
    <row r="22" spans="3:9" ht="15.75" x14ac:dyDescent="0.25">
      <c r="C22" s="33">
        <v>120</v>
      </c>
      <c r="D22" s="35">
        <f>16.4/1000</f>
        <v>1.6399999999999998E-2</v>
      </c>
      <c r="E22" s="35">
        <f>16.4/1000</f>
        <v>1.6399999999999998E-2</v>
      </c>
      <c r="F22" s="35">
        <f>17.2/1000</f>
        <v>1.72E-2</v>
      </c>
      <c r="G22" s="6"/>
      <c r="H22" s="6"/>
    </row>
    <row r="23" spans="3:9" ht="15.75" x14ac:dyDescent="0.25">
      <c r="C23" s="33">
        <v>144</v>
      </c>
      <c r="D23" s="35">
        <f>18.2/1000</f>
        <v>1.8200000000000001E-2</v>
      </c>
      <c r="E23" s="35">
        <f>18.4/1000</f>
        <v>1.84E-2</v>
      </c>
      <c r="F23" s="35">
        <f>19/1000</f>
        <v>1.9E-2</v>
      </c>
      <c r="G23" s="6"/>
      <c r="H23" s="6"/>
    </row>
    <row r="29" spans="3:9" ht="15.75" x14ac:dyDescent="0.25">
      <c r="C29" s="39" t="s">
        <v>4</v>
      </c>
      <c r="D29" s="40"/>
      <c r="E29" s="40"/>
      <c r="F29" s="40"/>
      <c r="G29" s="40"/>
      <c r="H29" s="40"/>
      <c r="I29" s="41"/>
    </row>
    <row r="30" spans="3:9" ht="22.5" customHeight="1" x14ac:dyDescent="0.25">
      <c r="C30" s="38" t="s">
        <v>0</v>
      </c>
      <c r="D30" s="38" t="s">
        <v>7</v>
      </c>
      <c r="E30" s="38"/>
      <c r="F30" s="38" t="s">
        <v>8</v>
      </c>
      <c r="G30" s="38"/>
      <c r="H30" s="38" t="s">
        <v>9</v>
      </c>
      <c r="I30" s="38"/>
    </row>
    <row r="31" spans="3:9" ht="13.5" customHeight="1" x14ac:dyDescent="0.25">
      <c r="C31" s="38"/>
      <c r="D31" s="38"/>
      <c r="E31" s="38"/>
      <c r="F31" s="38"/>
      <c r="G31" s="38"/>
      <c r="H31" s="38"/>
      <c r="I31" s="38"/>
    </row>
    <row r="32" spans="3:9" ht="16.5" customHeight="1" x14ac:dyDescent="0.25">
      <c r="C32" s="38"/>
      <c r="D32" s="37" t="s">
        <v>10</v>
      </c>
      <c r="E32" s="37" t="s">
        <v>11</v>
      </c>
      <c r="F32" s="37" t="s">
        <v>10</v>
      </c>
      <c r="G32" s="37" t="s">
        <v>11</v>
      </c>
      <c r="H32" s="37" t="s">
        <v>10</v>
      </c>
      <c r="I32" s="37" t="s">
        <v>11</v>
      </c>
    </row>
    <row r="33" spans="3:9" x14ac:dyDescent="0.25">
      <c r="C33" s="38"/>
      <c r="D33" s="37"/>
      <c r="E33" s="37"/>
      <c r="F33" s="37"/>
      <c r="G33" s="37"/>
      <c r="H33" s="37"/>
      <c r="I33" s="37"/>
    </row>
    <row r="34" spans="3:9" ht="15.75" x14ac:dyDescent="0.25">
      <c r="C34" s="31" t="s">
        <v>1</v>
      </c>
      <c r="D34" s="32">
        <f>81/1000</f>
        <v>8.1000000000000003E-2</v>
      </c>
      <c r="E34" s="32">
        <f>91/1000</f>
        <v>9.0999999999999998E-2</v>
      </c>
      <c r="F34" s="32">
        <f>86/1000</f>
        <v>8.5999999999999993E-2</v>
      </c>
      <c r="G34" s="32">
        <f>94/1000</f>
        <v>9.4E-2</v>
      </c>
      <c r="H34" s="32">
        <f>86/1000</f>
        <v>8.5999999999999993E-2</v>
      </c>
      <c r="I34" s="32">
        <f>99/1000</f>
        <v>9.9000000000000005E-2</v>
      </c>
    </row>
    <row r="35" spans="3:9" ht="15.75" x14ac:dyDescent="0.25">
      <c r="C35" s="33" t="s">
        <v>2</v>
      </c>
      <c r="D35" s="32">
        <f>98/1000</f>
        <v>9.8000000000000004E-2</v>
      </c>
      <c r="E35" s="32">
        <f>105/1000</f>
        <v>0.105</v>
      </c>
      <c r="F35" s="32">
        <f>97/1000</f>
        <v>9.7000000000000003E-2</v>
      </c>
      <c r="G35" s="32">
        <f>106/1000</f>
        <v>0.106</v>
      </c>
      <c r="H35" s="32">
        <f>106/1000</f>
        <v>0.106</v>
      </c>
      <c r="I35" s="32">
        <f>113/1000</f>
        <v>0.113</v>
      </c>
    </row>
    <row r="36" spans="3:9" ht="15.75" x14ac:dyDescent="0.25">
      <c r="C36" s="33">
        <v>48</v>
      </c>
      <c r="D36" s="32">
        <f>123/1000</f>
        <v>0.123</v>
      </c>
      <c r="E36" s="32">
        <f>130/1000</f>
        <v>0.13</v>
      </c>
      <c r="F36" s="32">
        <f>123/1000</f>
        <v>0.123</v>
      </c>
      <c r="G36" s="32">
        <f>130/1000</f>
        <v>0.13</v>
      </c>
      <c r="H36" s="32">
        <f>130/1000</f>
        <v>0.13</v>
      </c>
      <c r="I36" s="32">
        <f>136/1000</f>
        <v>0.13600000000000001</v>
      </c>
    </row>
    <row r="37" spans="3:9" ht="15.75" x14ac:dyDescent="0.25">
      <c r="C37" s="33" t="s">
        <v>3</v>
      </c>
      <c r="D37" s="32">
        <f>124/1000</f>
        <v>0.124</v>
      </c>
      <c r="E37" s="32">
        <f>132/1000</f>
        <v>0.13200000000000001</v>
      </c>
      <c r="F37" s="32">
        <f>126/1000</f>
        <v>0.126</v>
      </c>
      <c r="G37" s="32">
        <f>134/1000</f>
        <v>0.13400000000000001</v>
      </c>
      <c r="H37" s="32">
        <f>131/1000</f>
        <v>0.13100000000000001</v>
      </c>
      <c r="I37" s="32">
        <f>139/1000</f>
        <v>0.13900000000000001</v>
      </c>
    </row>
    <row r="38" spans="3:9" ht="15.75" x14ac:dyDescent="0.25">
      <c r="C38" s="33">
        <v>96</v>
      </c>
      <c r="D38" s="32">
        <f>158/1000</f>
        <v>0.158</v>
      </c>
      <c r="E38" s="32">
        <f>150/1000</f>
        <v>0.15</v>
      </c>
      <c r="F38" s="32">
        <f>145/1000</f>
        <v>0.14499999999999999</v>
      </c>
      <c r="G38" s="32">
        <f>152/1000</f>
        <v>0.152</v>
      </c>
      <c r="H38" s="32">
        <f>147/1000</f>
        <v>0.14699999999999999</v>
      </c>
      <c r="I38" s="32">
        <f>158/1000</f>
        <v>0.158</v>
      </c>
    </row>
    <row r="39" spans="3:9" ht="15.75" x14ac:dyDescent="0.25">
      <c r="C39" s="33">
        <v>120</v>
      </c>
      <c r="D39" s="32">
        <f>176/1000</f>
        <v>0.17599999999999999</v>
      </c>
      <c r="E39" s="32">
        <f>188/1000</f>
        <v>0.188</v>
      </c>
      <c r="F39" s="32">
        <f>179/1000</f>
        <v>0.17899999999999999</v>
      </c>
      <c r="G39" s="32">
        <f>190/1000</f>
        <v>0.19</v>
      </c>
      <c r="H39" s="32">
        <f>188/1000</f>
        <v>0.188</v>
      </c>
      <c r="I39" s="32">
        <f>201/1000</f>
        <v>0.20100000000000001</v>
      </c>
    </row>
    <row r="40" spans="3:9" ht="15.75" x14ac:dyDescent="0.25">
      <c r="C40" s="33">
        <v>144</v>
      </c>
      <c r="D40" s="32">
        <f>234/1000</f>
        <v>0.23400000000000001</v>
      </c>
      <c r="E40" s="32">
        <f>244/1000</f>
        <v>0.24399999999999999</v>
      </c>
      <c r="F40" s="32">
        <f>232/1000</f>
        <v>0.23200000000000001</v>
      </c>
      <c r="G40" s="32">
        <f>247/1000</f>
        <v>0.247</v>
      </c>
      <c r="H40" s="32">
        <f>242/1000</f>
        <v>0.24199999999999999</v>
      </c>
      <c r="I40" s="32">
        <f>257/1000</f>
        <v>0.25700000000000001</v>
      </c>
    </row>
    <row r="45" spans="3:9" ht="15.75" x14ac:dyDescent="0.25">
      <c r="C45" s="36" t="s">
        <v>4</v>
      </c>
      <c r="D45" s="36"/>
      <c r="E45" s="36"/>
      <c r="F45" s="36"/>
      <c r="G45" s="36"/>
      <c r="H45" s="36"/>
      <c r="I45" s="30"/>
    </row>
    <row r="46" spans="3:9" x14ac:dyDescent="0.25">
      <c r="C46" s="38" t="s">
        <v>0</v>
      </c>
      <c r="D46" s="38" t="s">
        <v>7</v>
      </c>
      <c r="E46" s="38"/>
      <c r="F46" s="38" t="s">
        <v>8</v>
      </c>
      <c r="G46" s="38"/>
      <c r="H46" s="38" t="s">
        <v>9</v>
      </c>
      <c r="I46" s="38"/>
    </row>
    <row r="47" spans="3:9" x14ac:dyDescent="0.25">
      <c r="C47" s="38"/>
      <c r="D47" s="38"/>
      <c r="E47" s="38"/>
      <c r="F47" s="38"/>
      <c r="G47" s="38"/>
      <c r="H47" s="38"/>
      <c r="I47" s="38"/>
    </row>
    <row r="48" spans="3:9" x14ac:dyDescent="0.25">
      <c r="C48" s="38"/>
      <c r="D48" s="37" t="s">
        <v>10</v>
      </c>
      <c r="E48" s="37" t="s">
        <v>11</v>
      </c>
      <c r="F48" s="37" t="s">
        <v>10</v>
      </c>
      <c r="G48" s="37" t="s">
        <v>11</v>
      </c>
      <c r="H48" s="37" t="s">
        <v>10</v>
      </c>
      <c r="I48" s="37" t="s">
        <v>11</v>
      </c>
    </row>
    <row r="49" spans="3:9" x14ac:dyDescent="0.25">
      <c r="C49" s="38"/>
      <c r="D49" s="37"/>
      <c r="E49" s="37"/>
      <c r="F49" s="37"/>
      <c r="G49" s="37"/>
      <c r="H49" s="37"/>
      <c r="I49" s="37"/>
    </row>
    <row r="50" spans="3:9" ht="15.75" x14ac:dyDescent="0.25">
      <c r="C50" s="31" t="s">
        <v>1</v>
      </c>
      <c r="D50" s="32">
        <f>99/1000</f>
        <v>9.9000000000000005E-2</v>
      </c>
      <c r="E50" s="32">
        <f>111/1000</f>
        <v>0.111</v>
      </c>
      <c r="F50" s="32">
        <f>100/1000</f>
        <v>0.1</v>
      </c>
      <c r="G50" s="32">
        <f>112/1000</f>
        <v>0.112</v>
      </c>
      <c r="H50" s="32">
        <f>106/1000</f>
        <v>0.106</v>
      </c>
      <c r="I50" s="32">
        <f>115/1000</f>
        <v>0.115</v>
      </c>
    </row>
    <row r="51" spans="3:9" ht="15.75" x14ac:dyDescent="0.25">
      <c r="C51" s="33" t="s">
        <v>2</v>
      </c>
      <c r="D51" s="32">
        <f>100/1000</f>
        <v>0.1</v>
      </c>
      <c r="E51" s="32">
        <f>112/1000</f>
        <v>0.112</v>
      </c>
      <c r="F51" s="32">
        <f>102/1000</f>
        <v>0.10199999999999999</v>
      </c>
      <c r="G51" s="32">
        <f>114/1000</f>
        <v>0.114</v>
      </c>
      <c r="H51" s="32">
        <f>109/1000</f>
        <v>0.109</v>
      </c>
      <c r="I51" s="32">
        <f>118/1000</f>
        <v>0.11799999999999999</v>
      </c>
    </row>
    <row r="52" spans="3:9" ht="15.75" x14ac:dyDescent="0.25">
      <c r="C52" s="33" t="s">
        <v>6</v>
      </c>
      <c r="D52" s="32">
        <f>133/1000</f>
        <v>0.13300000000000001</v>
      </c>
      <c r="E52" s="32">
        <f>143/1000</f>
        <v>0.14299999999999999</v>
      </c>
      <c r="F52" s="32">
        <f>148/1000</f>
        <v>0.14799999999999999</v>
      </c>
      <c r="G52" s="32">
        <f>145/1000</f>
        <v>0.14499999999999999</v>
      </c>
      <c r="H52" s="32">
        <f>136/1000</f>
        <v>0.13600000000000001</v>
      </c>
      <c r="I52" s="32">
        <f>151/1000</f>
        <v>0.151</v>
      </c>
    </row>
    <row r="53" spans="3:9" ht="15.75" x14ac:dyDescent="0.25">
      <c r="C53" s="33">
        <v>96</v>
      </c>
      <c r="D53" s="32">
        <f>175/1000</f>
        <v>0.17499999999999999</v>
      </c>
      <c r="E53" s="32">
        <f>185/1000</f>
        <v>0.185</v>
      </c>
      <c r="F53" s="32">
        <f>172/1000</f>
        <v>0.17199999999999999</v>
      </c>
      <c r="G53" s="32">
        <f>188/1000</f>
        <v>0.188</v>
      </c>
      <c r="H53" s="32">
        <f>188/1000</f>
        <v>0.188</v>
      </c>
      <c r="I53" s="32">
        <f>194/1000</f>
        <v>0.19400000000000001</v>
      </c>
    </row>
    <row r="54" spans="3:9" ht="15.75" x14ac:dyDescent="0.25">
      <c r="C54" s="33">
        <v>120</v>
      </c>
      <c r="D54" s="32">
        <f>207/1000</f>
        <v>0.20699999999999999</v>
      </c>
      <c r="E54" s="32">
        <f>224/1000</f>
        <v>0.224</v>
      </c>
      <c r="F54" s="32">
        <f>210/1000</f>
        <v>0.21</v>
      </c>
      <c r="G54" s="32">
        <f>229/1000</f>
        <v>0.22900000000000001</v>
      </c>
      <c r="H54" s="32">
        <f>222/1000</f>
        <v>0.222</v>
      </c>
      <c r="I54" s="32">
        <f>237/1000</f>
        <v>0.23699999999999999</v>
      </c>
    </row>
    <row r="55" spans="3:9" ht="15.75" x14ac:dyDescent="0.25">
      <c r="C55" s="33">
        <v>144</v>
      </c>
      <c r="D55" s="32">
        <f>265/1000</f>
        <v>0.26500000000000001</v>
      </c>
      <c r="E55" s="32">
        <f>276/1000</f>
        <v>0.27600000000000002</v>
      </c>
      <c r="F55" s="32">
        <f>260/1000</f>
        <v>0.26</v>
      </c>
      <c r="G55" s="32">
        <f>281/1000</f>
        <v>0.28100000000000003</v>
      </c>
      <c r="H55" s="32">
        <f>269/1000</f>
        <v>0.26900000000000002</v>
      </c>
      <c r="I55" s="32">
        <f>291/1000</f>
        <v>0.29099999999999998</v>
      </c>
    </row>
  </sheetData>
  <mergeCells count="24">
    <mergeCell ref="C45:H45"/>
    <mergeCell ref="C46:C49"/>
    <mergeCell ref="D46:E47"/>
    <mergeCell ref="F46:G47"/>
    <mergeCell ref="H46:I47"/>
    <mergeCell ref="D48:D49"/>
    <mergeCell ref="E48:E49"/>
    <mergeCell ref="F48:F49"/>
    <mergeCell ref="G48:G49"/>
    <mergeCell ref="H48:H49"/>
    <mergeCell ref="I48:I49"/>
    <mergeCell ref="C2:F2"/>
    <mergeCell ref="C16:F16"/>
    <mergeCell ref="I32:I33"/>
    <mergeCell ref="D30:E31"/>
    <mergeCell ref="F30:G31"/>
    <mergeCell ref="H30:I31"/>
    <mergeCell ref="C30:C33"/>
    <mergeCell ref="D32:D33"/>
    <mergeCell ref="E32:E33"/>
    <mergeCell ref="F32:F33"/>
    <mergeCell ref="G32:G33"/>
    <mergeCell ref="H32:H33"/>
    <mergeCell ref="C29:I29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5:AA71"/>
  <sheetViews>
    <sheetView tabSelected="1" topLeftCell="E1" zoomScale="68" zoomScaleNormal="68" workbookViewId="0">
      <selection activeCell="U10" sqref="U10"/>
    </sheetView>
  </sheetViews>
  <sheetFormatPr defaultColWidth="9.140625" defaultRowHeight="15" x14ac:dyDescent="0.25"/>
  <cols>
    <col min="1" max="1" width="3.42578125" style="1" customWidth="1"/>
    <col min="2" max="2" width="21.140625" style="1" customWidth="1"/>
    <col min="3" max="3" width="24.5703125" style="1" customWidth="1"/>
    <col min="4" max="4" width="81.28515625" style="1" customWidth="1"/>
    <col min="5" max="8" width="11.140625" style="1" customWidth="1"/>
    <col min="9" max="13" width="9.140625" style="1"/>
    <col min="14" max="14" width="29.7109375" style="1" customWidth="1"/>
    <col min="15" max="16" width="9.140625" style="1"/>
    <col min="17" max="17" width="15.42578125" style="1" customWidth="1"/>
    <col min="18" max="18" width="19.140625" style="1" customWidth="1"/>
    <col min="19" max="19" width="9.140625" style="1"/>
    <col min="20" max="20" width="4" style="1" customWidth="1"/>
    <col min="21" max="21" width="22.7109375" style="1" customWidth="1"/>
    <col min="22" max="16384" width="9.140625" style="1"/>
  </cols>
  <sheetData>
    <row r="5" spans="2:27" ht="63.75" customHeight="1" x14ac:dyDescent="0.25">
      <c r="K5" s="52" t="s">
        <v>12</v>
      </c>
      <c r="L5" s="53"/>
      <c r="M5" s="53"/>
      <c r="N5" s="53"/>
      <c r="O5" s="53"/>
      <c r="P5" s="53"/>
      <c r="Q5" s="53"/>
      <c r="R5" s="53"/>
      <c r="T5" s="19"/>
      <c r="U5" s="20" t="s">
        <v>69</v>
      </c>
    </row>
    <row r="6" spans="2:27" ht="15.75" x14ac:dyDescent="0.25">
      <c r="B6" s="62" t="s">
        <v>19</v>
      </c>
      <c r="C6" s="60" t="s">
        <v>20</v>
      </c>
      <c r="D6" s="64" t="s">
        <v>24</v>
      </c>
      <c r="E6" s="60" t="s">
        <v>21</v>
      </c>
      <c r="F6" s="63"/>
      <c r="K6" s="44" t="s">
        <v>13</v>
      </c>
      <c r="L6" s="45"/>
      <c r="M6" s="45"/>
      <c r="N6" s="45"/>
      <c r="O6" s="45"/>
      <c r="P6" s="45"/>
      <c r="Q6" s="45"/>
      <c r="R6" s="45"/>
      <c r="T6" s="19"/>
      <c r="U6" s="21">
        <v>30</v>
      </c>
      <c r="Y6" s="67" t="s">
        <v>81</v>
      </c>
      <c r="Z6" s="68"/>
      <c r="AA6" s="69"/>
    </row>
    <row r="7" spans="2:27" ht="16.5" customHeight="1" x14ac:dyDescent="0.25">
      <c r="B7" s="62"/>
      <c r="C7" s="61"/>
      <c r="D7" s="65"/>
      <c r="E7" s="61"/>
      <c r="F7" s="63"/>
      <c r="K7" s="44" t="s">
        <v>14</v>
      </c>
      <c r="L7" s="45"/>
      <c r="M7" s="45"/>
      <c r="N7" s="45"/>
      <c r="O7" s="45"/>
      <c r="P7" s="45"/>
      <c r="Q7" s="45"/>
      <c r="R7" s="45"/>
      <c r="T7" s="19"/>
      <c r="U7" s="21">
        <v>20</v>
      </c>
      <c r="Y7" s="70"/>
      <c r="Z7" s="71"/>
      <c r="AA7" s="72"/>
    </row>
    <row r="8" spans="2:27" ht="15.75" x14ac:dyDescent="0.25">
      <c r="B8" s="4"/>
      <c r="C8" s="5">
        <v>50</v>
      </c>
      <c r="D8" s="24">
        <f>IF(D6=K29,'Especificações Técnicas'!D4,IF('Cálculo do esforço mecânico'!D6='Cálculo do esforço mecânico'!K30,'Especificações Técnicas'!D5,IF('Cálculo do esforço mecânico'!D6='Cálculo do esforço mecânico'!K31,'Especificações Técnicas'!D6,IF('Cálculo do esforço mecânico'!D6='Cálculo do esforço mecânico'!K32,'Especificações Técnicas'!D7,IF('Cálculo do esforço mecânico'!D6='Cálculo do esforço mecânico'!K33,'Especificações Técnicas'!D8,IF('Cálculo do esforço mecânico'!D6='Cálculo do esforço mecânico'!K34,'Especificações Técnicas'!D9,IF('Cálculo do esforço mecânico'!D6='Cálculo do esforço mecânico'!K35,'Especificações Técnicas'!D10,IF('Cálculo do esforço mecânico'!D6='Cálculo do esforço mecânico'!K36,'Especificações Técnicas'!E4,IF('Cálculo do esforço mecânico'!D6='Cálculo do esforço mecânico'!K37,'Especificações Técnicas'!E5,IF('Cálculo do esforço mecânico'!D6='Cálculo do esforço mecânico'!K38,'Especificações Técnicas'!E6,IF('Cálculo do esforço mecânico'!D6='Cálculo do esforço mecânico'!K39,'Especificações Técnicas'!E7,IF('Cálculo do esforço mecânico'!D6='Cálculo do esforço mecânico'!K40,'Especificações Técnicas'!E8,IF('Cálculo do esforço mecânico'!D6='Cálculo do esforço mecânico'!K41,'Especificações Técnicas'!E9,IF('Cálculo do esforço mecânico'!D6='Cálculo do esforço mecânico'!K42,'Especificações Técnicas'!E10,IF('Cálculo do esforço mecânico'!D6='Cálculo do esforço mecânico'!K43,'Especificações Técnicas'!F4,IF('Cálculo do esforço mecânico'!D6='Cálculo do esforço mecânico'!K44,'Especificações Técnicas'!F5,IF('Cálculo do esforço mecânico'!D6='Cálculo do esforço mecânico'!K45,'Especificações Técnicas'!F6,IF('Cálculo do esforço mecânico'!D6='Cálculo do esforço mecânico'!K46,'Especificações Técnicas'!F7,IF('Cálculo do esforço mecânico'!D6='Cálculo do esforço mecânico'!K47,'Especificações Técnicas'!F8,IF('Cálculo do esforço mecânico'!D6='Cálculo do esforço mecânico'!K48,'Especificações Técnicas'!F9,IF('Cálculo do esforço mecânico'!D6='Cálculo do esforço mecânico'!K49,'Especificações Técnicas'!F10,IF(D6=K50,'Especificações Técnicas'!D18,IF('Cálculo do esforço mecânico'!D6='Cálculo do esforço mecânico'!K51,'Especificações Técnicas'!D19,IF('Cálculo do esforço mecânico'!D6='Cálculo do esforço mecânico'!K52,'Especificações Técnicas'!D20,IF('Cálculo do esforço mecânico'!D6='Cálculo do esforço mecânico'!K53,'Especificações Técnicas'!D21,IF('Cálculo do esforço mecânico'!D6='Cálculo do esforço mecânico'!K54,'Especificações Técnicas'!D22,IF('Cálculo do esforço mecânico'!D6='Cálculo do esforço mecânico'!K55,'Especificações Técnicas'!D23,IF('Cálculo do esforço mecânico'!D6='Cálculo do esforço mecânico'!K56,'Especificações Técnicas'!E18,IF('Cálculo do esforço mecânico'!D6='Cálculo do esforço mecânico'!K57,'Especificações Técnicas'!E19,IF('Cálculo do esforço mecânico'!D6='Cálculo do esforço mecânico'!K58,'Especificações Técnicas'!E20,IF('Cálculo do esforço mecânico'!D6='Cálculo do esforço mecânico'!K59,'Especificações Técnicas'!E21,IF('Cálculo do esforço mecânico'!D6='Cálculo do esforço mecânico'!K60,'Especificações Técnicas'!E22,IF('Cálculo do esforço mecânico'!D6='Cálculo do esforço mecânico'!K61,'Especificações Técnicas'!E23,IF('Cálculo do esforço mecânico'!D6='Cálculo do esforço mecânico'!K62,'Especificações Técnicas'!F18,IF('Cálculo do esforço mecânico'!D6='Cálculo do esforço mecânico'!K63,'Especificações Técnicas'!F19,IF('Cálculo do esforço mecânico'!D6='Cálculo do esforço mecânico'!K64,'Especificações Técnicas'!F20,IF('Cálculo do esforço mecânico'!D6='Cálculo do esforço mecânico'!K65,'Especificações Técnicas'!F21,IF('Cálculo do esforço mecânico'!D6='Cálculo do esforço mecânico'!K66,'Especificações Técnicas'!F22,IF('Cálculo do esforço mecânico'!D6='Cálculo do esforço mecânico'!K67,'Especificações Técnicas'!F23)))))))))))))))))))))))))))))))))))))))</f>
        <v>1.06E-2</v>
      </c>
      <c r="E8" s="5">
        <f>C8*D8</f>
        <v>0.53</v>
      </c>
      <c r="F8" s="4" t="s">
        <v>22</v>
      </c>
      <c r="K8" s="50">
        <v>1.2999999999999999E-2</v>
      </c>
      <c r="L8" s="51"/>
      <c r="M8" s="51"/>
      <c r="N8" s="51"/>
      <c r="O8" s="51"/>
      <c r="P8" s="51"/>
      <c r="Q8" s="51"/>
      <c r="R8" s="51"/>
      <c r="T8" s="19"/>
      <c r="U8" s="21">
        <v>32</v>
      </c>
      <c r="Y8" s="73"/>
      <c r="Z8" s="74"/>
      <c r="AA8" s="75"/>
    </row>
    <row r="9" spans="2:27" ht="15.75" x14ac:dyDescent="0.25">
      <c r="B9" s="4" t="s">
        <v>23</v>
      </c>
      <c r="C9" s="2">
        <v>1</v>
      </c>
      <c r="D9" s="3"/>
      <c r="E9" s="27">
        <f>C8*D8</f>
        <v>0.53</v>
      </c>
      <c r="F9" s="4" t="s">
        <v>22</v>
      </c>
      <c r="T9" s="19"/>
      <c r="U9" s="21">
        <v>43</v>
      </c>
    </row>
    <row r="10" spans="2:27" ht="15.75" customHeight="1" x14ac:dyDescent="0.25">
      <c r="T10" s="19"/>
      <c r="U10" s="21"/>
    </row>
    <row r="11" spans="2:27" ht="15.75" customHeight="1" x14ac:dyDescent="0.25">
      <c r="C11" s="58" t="s">
        <v>60</v>
      </c>
      <c r="T11" s="19"/>
      <c r="U11" s="21"/>
    </row>
    <row r="12" spans="2:27" ht="15.75" customHeight="1" x14ac:dyDescent="0.25">
      <c r="C12" s="58"/>
      <c r="T12" s="19"/>
      <c r="U12" s="21"/>
    </row>
    <row r="13" spans="2:27" ht="15.75" customHeight="1" x14ac:dyDescent="0.25">
      <c r="C13" s="58"/>
      <c r="T13" s="19"/>
      <c r="U13" s="21"/>
      <c r="Y13" s="42">
        <f>$F$24</f>
        <v>83.774046221443186</v>
      </c>
      <c r="Z13" s="43"/>
      <c r="AA13" s="43"/>
    </row>
    <row r="14" spans="2:27" ht="15.75" customHeight="1" x14ac:dyDescent="0.25">
      <c r="C14" s="58"/>
      <c r="T14" s="19"/>
      <c r="U14" s="21"/>
      <c r="Y14" s="43"/>
      <c r="Z14" s="43"/>
      <c r="AA14" s="43"/>
    </row>
    <row r="15" spans="2:27" ht="15.75" customHeight="1" x14ac:dyDescent="0.25">
      <c r="C15" s="58"/>
      <c r="T15" s="19"/>
      <c r="U15" s="21"/>
      <c r="Y15" s="43"/>
      <c r="Z15" s="43"/>
      <c r="AA15" s="43"/>
    </row>
    <row r="16" spans="2:27" ht="15.75" x14ac:dyDescent="0.25">
      <c r="B16" s="4" t="s">
        <v>19</v>
      </c>
      <c r="C16" s="59"/>
      <c r="D16" s="5" t="s">
        <v>21</v>
      </c>
      <c r="E16" s="5" t="s">
        <v>62</v>
      </c>
      <c r="F16" s="4"/>
      <c r="K16" s="48" t="s">
        <v>15</v>
      </c>
      <c r="L16" s="49"/>
      <c r="M16" s="49"/>
      <c r="N16" s="49"/>
      <c r="O16" s="49"/>
      <c r="P16" s="49"/>
      <c r="T16" s="19"/>
      <c r="U16" s="21"/>
      <c r="Y16" s="43"/>
      <c r="Z16" s="43"/>
      <c r="AA16" s="43"/>
    </row>
    <row r="17" spans="2:27" ht="15.75" x14ac:dyDescent="0.25">
      <c r="B17" s="4"/>
      <c r="C17" s="8">
        <f>IF(D6=K29,IF(C11=K70,'Especificações Técnicas'!D34,'Especificações Técnicas'!E34),IF(D6=K30,IF(C11=K70,'Especificações Técnicas'!D35,'Especificações Técnicas'!E35),IF(D6=K31,IF(C11=K70,'Especificações Técnicas'!D36,'Especificações Técnicas'!E36),IF(D6=K32,IF(C11=K70,'Especificações Técnicas'!D37,'Especificações Técnicas'!E37),IF(D6=K33,IF(C11=K70,'Especificações Técnicas'!D38,'Especificações Técnicas'!E38),IF(D6=K34,IF(C11=K70,'Especificações Técnicas'!D39,'Especificações Técnicas'!E39),IF(D6=K35,IF(C11=K70,'Especificações Técnicas'!D40,'Especificações Técnicas'!E40),IF(D6=K36,IF(C11=K70,'Especificações Técnicas'!F34,'Especificações Técnicas'!G34),IF(D6=K37,IF(C11=K70,'Especificações Técnicas'!F35,'Especificações Técnicas'!G35),IF(D6=K38,IF(C11=K70,'Especificações Técnicas'!F36,'Especificações Técnicas'!G36),IF(D6=K39,IF(C11=K70,'Especificações Técnicas'!F37,'Especificações Técnicas'!G37),IF(D6=K40,IF(C11=K70,'Especificações Técnicas'!F38,'Especificações Técnicas'!G38),IF(D6=K41,IF(C11=K70,'Especificações Técnicas'!F39,'Especificações Técnicas'!G39),IF(D6=K42,IF(C11=K70,'Especificações Técnicas'!F40,'Especificações Técnicas'!G40),IF(D6=K43,IF(C11=K70,'Especificações Técnicas'!H34,'Especificações Técnicas'!I34),IF(D6=K44,IF(C11=K70,'Especificações Técnicas'!H35,'Especificações Técnicas'!I35),IF(D6=K45,IF(C11=K70,'Especificações Técnicas'!H36,'Especificações Técnicas'!I36),IF(D6=K46,IF(C11=K70,'Especificações Técnicas'!H37,'Especificações Técnicas'!I37),IF(D6=K47,IF(C11=K70,'Especificações Técnicas'!H38,'Especificações Técnicas'!I38),IF(D6=K48,IF(C11=K70,'Especificações Técnicas'!H39,'Especificações Técnicas'!I39),IF(D6=K49,IF(C11=K70,'Especificações Técnicas'!H40,'Especificações Técnicas'!I40),IF(D6=K50,IF(C11=K70,'Especificações Técnicas'!D50,'Especificações Técnicas'!E50),IF(D6=K51,IF(C11=K70,'Especificações Técnicas'!D51,'Especificações Técnicas'!E51),IF(D6=K52,IF(C11=K70,'Especificações Técnicas'!D52,'Especificações Técnicas'!E52),IF(D6=K53,IF(C11=K70,'Especificações Técnicas'!D53,'Especificações Técnicas'!E53),IF(D6=K54,IF(C11=K70,'Especificações Técnicas'!D54,'Especificações Técnicas'!E54),IF(D6=K55,IF(C11=K70,'Especificações Técnicas'!D55,'Especificações Técnicas'!E55),IF(D6=K56,IF(C11=K70,'Especificações Técnicas'!F50,'Especificações Técnicas'!G50),IF(D6=K57,IF(C11=K70,'Especificações Técnicas'!F51,'Especificações Técnicas'!G51),IF(D6=K58,IF(C11=K70,'Especificações Técnicas'!F52,'Especificações Técnicas'!G52),IF(D6=K59,IF(C11=K70,'Especificações Técnicas'!F53,'Especificações Técnicas'!G53),IF(D6=K60,IF(C11=K70,'Especificações Técnicas'!F54,'Especificações Técnicas'!G54),IF(D6=K61,IF(C11=K70,'Especificações Técnicas'!F55,'Especificações Técnicas'!G55),IF(D6=K62,IF(C11=K70,'Especificações Técnicas'!H50,'Especificações Técnicas'!I50),IF(D6=K63,IF(C11=K70,'Especificações Técnicas'!H51,'Especificações Técnicas'!I51),IF(D6=K64,IF(C11=K70,'Especificações Técnicas'!H52,'Especificações Técnicas'!I52),IF(D6=K65,IF(C11=K70,'Especificações Técnicas'!H53,'Especificações Técnicas'!I53),IF(D6=K66,IF(C11=K70,'Especificações Técnicas'!H54,'Especificações Técnicas'!I54),IF(D6=K67,IF(C11=K70,'Especificações Técnicas'!H55,'Especificações Técnicas'!I55))))))))))))))))))))))))))))))))))))))))+F19+F20</f>
        <v>8.1000000000000003E-2</v>
      </c>
      <c r="D17" s="5">
        <f>E8</f>
        <v>0.53</v>
      </c>
      <c r="E17" s="8">
        <f>SQRT((C17)^2+(D17)^2)</f>
        <v>0.53615389581723638</v>
      </c>
      <c r="F17" s="4" t="s">
        <v>63</v>
      </c>
      <c r="K17" s="44" t="s">
        <v>16</v>
      </c>
      <c r="L17" s="45"/>
      <c r="M17" s="45"/>
      <c r="N17" s="45"/>
      <c r="O17" s="45"/>
      <c r="P17" s="45"/>
      <c r="T17" s="19"/>
      <c r="U17" s="21"/>
      <c r="Y17" s="43"/>
      <c r="Z17" s="43"/>
      <c r="AA17" s="43"/>
    </row>
    <row r="18" spans="2:27" ht="15.75" x14ac:dyDescent="0.25">
      <c r="B18" s="4" t="s">
        <v>64</v>
      </c>
      <c r="C18" s="2">
        <v>1</v>
      </c>
      <c r="D18" s="3"/>
      <c r="E18" s="9">
        <f>E17*C18</f>
        <v>0.53615389581723638</v>
      </c>
      <c r="F18" s="4"/>
      <c r="K18" s="44" t="s">
        <v>79</v>
      </c>
      <c r="L18" s="45"/>
      <c r="M18" s="45"/>
      <c r="N18" s="45"/>
      <c r="O18" s="45"/>
      <c r="P18" s="45"/>
      <c r="T18" s="19"/>
      <c r="U18" s="21"/>
      <c r="Y18" s="43"/>
      <c r="Z18" s="43"/>
      <c r="AA18" s="43"/>
    </row>
    <row r="19" spans="2:27" ht="15.75" x14ac:dyDescent="0.25">
      <c r="B19" s="10"/>
      <c r="C19" s="11"/>
      <c r="D19" s="10"/>
      <c r="E19" s="10">
        <v>0</v>
      </c>
      <c r="F19" s="26">
        <f>E19/U6</f>
        <v>0</v>
      </c>
      <c r="K19" s="46">
        <v>0.128</v>
      </c>
      <c r="L19" s="47"/>
      <c r="M19" s="47"/>
      <c r="N19" s="47"/>
      <c r="O19" s="47"/>
      <c r="P19" s="47"/>
      <c r="T19" s="19"/>
      <c r="U19" s="21"/>
      <c r="Y19" s="43"/>
      <c r="Z19" s="43"/>
      <c r="AA19" s="43"/>
    </row>
    <row r="20" spans="2:27" ht="15.75" x14ac:dyDescent="0.25">
      <c r="B20" s="12"/>
      <c r="C20" s="13"/>
      <c r="D20" s="12"/>
      <c r="E20" s="12">
        <v>0</v>
      </c>
      <c r="F20" s="12">
        <f>E20/U6</f>
        <v>0</v>
      </c>
      <c r="T20" s="19"/>
      <c r="U20" s="21"/>
      <c r="Y20" s="43"/>
      <c r="Z20" s="43"/>
      <c r="AA20" s="43"/>
    </row>
    <row r="21" spans="2:27" ht="15.75" x14ac:dyDescent="0.25">
      <c r="K21" s="48" t="s">
        <v>17</v>
      </c>
      <c r="L21" s="49"/>
      <c r="M21" s="49"/>
      <c r="N21" s="49"/>
      <c r="T21" s="19"/>
      <c r="U21" s="21"/>
      <c r="Y21" s="43"/>
      <c r="Z21" s="43"/>
      <c r="AA21" s="43"/>
    </row>
    <row r="22" spans="2:27" ht="15.75" x14ac:dyDescent="0.25">
      <c r="K22" s="44" t="s">
        <v>78</v>
      </c>
      <c r="L22" s="45"/>
      <c r="M22" s="45"/>
      <c r="N22" s="45"/>
      <c r="T22" s="19"/>
      <c r="U22" s="21"/>
    </row>
    <row r="23" spans="2:27" ht="15.75" x14ac:dyDescent="0.25">
      <c r="B23" s="4" t="s">
        <v>65</v>
      </c>
      <c r="C23" s="5" t="s">
        <v>62</v>
      </c>
      <c r="D23" s="14" t="s">
        <v>66</v>
      </c>
      <c r="E23" s="5" t="s">
        <v>67</v>
      </c>
      <c r="F23" s="14" t="s">
        <v>68</v>
      </c>
      <c r="G23" s="62" t="s">
        <v>63</v>
      </c>
      <c r="K23" s="44" t="s">
        <v>77</v>
      </c>
      <c r="L23" s="45"/>
      <c r="M23" s="45"/>
      <c r="N23" s="45"/>
      <c r="T23" s="19"/>
      <c r="U23" s="21"/>
    </row>
    <row r="24" spans="2:27" ht="15.75" x14ac:dyDescent="0.25">
      <c r="B24" s="4"/>
      <c r="C24" s="15">
        <f>E17</f>
        <v>0.53615389581723638</v>
      </c>
      <c r="D24" s="16">
        <f>U41</f>
        <v>31.25</v>
      </c>
      <c r="E24" s="17">
        <f>D24*2.5%</f>
        <v>0.78125</v>
      </c>
      <c r="F24" s="18">
        <f>((C24*(D24^2)))/(8*E24)</f>
        <v>83.774046221443186</v>
      </c>
      <c r="G24" s="62"/>
      <c r="K24" s="44" t="s">
        <v>18</v>
      </c>
      <c r="L24" s="45"/>
      <c r="M24" s="45"/>
      <c r="N24" s="45"/>
      <c r="T24" s="19"/>
      <c r="U24" s="21"/>
    </row>
    <row r="25" spans="2:27" ht="15.75" x14ac:dyDescent="0.25">
      <c r="T25" s="19"/>
      <c r="U25" s="21"/>
    </row>
    <row r="26" spans="2:27" ht="15.75" x14ac:dyDescent="0.25">
      <c r="T26" s="19"/>
      <c r="U26" s="21"/>
    </row>
    <row r="27" spans="2:27" ht="15.75" x14ac:dyDescent="0.25">
      <c r="T27" s="19"/>
      <c r="U27" s="21"/>
    </row>
    <row r="28" spans="2:27" ht="15.75" x14ac:dyDescent="0.25">
      <c r="E28" s="76" t="s">
        <v>68</v>
      </c>
      <c r="F28" s="76"/>
      <c r="G28" s="76"/>
      <c r="K28" s="66" t="s">
        <v>80</v>
      </c>
      <c r="L28" s="66"/>
      <c r="M28" s="66"/>
      <c r="N28" s="66"/>
      <c r="O28" s="66"/>
      <c r="P28" s="66"/>
      <c r="Q28" s="66"/>
      <c r="T28" s="19"/>
      <c r="U28" s="21"/>
    </row>
    <row r="29" spans="2:27" ht="15.75" x14ac:dyDescent="0.25">
      <c r="E29" s="76"/>
      <c r="F29" s="76"/>
      <c r="G29" s="76"/>
      <c r="K29" s="54" t="s">
        <v>24</v>
      </c>
      <c r="L29" s="54"/>
      <c r="M29" s="54"/>
      <c r="N29" s="54"/>
      <c r="O29" s="54"/>
      <c r="P29" s="54"/>
      <c r="Q29" s="54"/>
      <c r="R29" s="7"/>
      <c r="S29" s="7"/>
      <c r="T29" s="19"/>
      <c r="U29" s="21"/>
    </row>
    <row r="30" spans="2:27" ht="15.75" customHeight="1" x14ac:dyDescent="0.25">
      <c r="E30" s="42">
        <f>$F$24</f>
        <v>83.774046221443186</v>
      </c>
      <c r="F30" s="43"/>
      <c r="G30" s="43"/>
      <c r="K30" s="54" t="s">
        <v>25</v>
      </c>
      <c r="L30" s="54"/>
      <c r="M30" s="54"/>
      <c r="N30" s="54"/>
      <c r="O30" s="54"/>
      <c r="P30" s="54"/>
      <c r="Q30" s="54"/>
      <c r="R30" s="7"/>
      <c r="S30" s="7"/>
      <c r="T30" s="19"/>
      <c r="U30" s="21"/>
    </row>
    <row r="31" spans="2:27" ht="15.75" customHeight="1" x14ac:dyDescent="0.25">
      <c r="E31" s="43"/>
      <c r="F31" s="43"/>
      <c r="G31" s="43"/>
      <c r="K31" s="54" t="s">
        <v>26</v>
      </c>
      <c r="L31" s="54"/>
      <c r="M31" s="54"/>
      <c r="N31" s="54"/>
      <c r="O31" s="54"/>
      <c r="P31" s="54"/>
      <c r="Q31" s="54"/>
      <c r="R31" s="7"/>
      <c r="S31" s="7"/>
      <c r="T31" s="19"/>
      <c r="U31" s="21"/>
    </row>
    <row r="32" spans="2:27" ht="15.75" x14ac:dyDescent="0.25">
      <c r="E32" s="43"/>
      <c r="F32" s="43"/>
      <c r="G32" s="43"/>
      <c r="K32" s="54" t="s">
        <v>27</v>
      </c>
      <c r="L32" s="54"/>
      <c r="M32" s="54"/>
      <c r="N32" s="54"/>
      <c r="O32" s="54"/>
      <c r="P32" s="54"/>
      <c r="Q32" s="54"/>
      <c r="R32" s="7"/>
      <c r="S32" s="7"/>
      <c r="T32" s="19"/>
      <c r="U32" s="21"/>
    </row>
    <row r="33" spans="5:21" ht="15.75" x14ac:dyDescent="0.25">
      <c r="E33" s="43"/>
      <c r="F33" s="43"/>
      <c r="G33" s="43"/>
      <c r="K33" s="54" t="s">
        <v>28</v>
      </c>
      <c r="L33" s="54"/>
      <c r="M33" s="54"/>
      <c r="N33" s="54"/>
      <c r="O33" s="54"/>
      <c r="P33" s="54"/>
      <c r="Q33" s="54"/>
      <c r="R33" s="7"/>
      <c r="S33" s="7"/>
      <c r="T33" s="19"/>
      <c r="U33" s="21"/>
    </row>
    <row r="34" spans="5:21" ht="15.75" x14ac:dyDescent="0.25">
      <c r="E34" s="43"/>
      <c r="F34" s="43"/>
      <c r="G34" s="43"/>
      <c r="K34" s="54" t="s">
        <v>74</v>
      </c>
      <c r="L34" s="54"/>
      <c r="M34" s="54"/>
      <c r="N34" s="54"/>
      <c r="O34" s="54"/>
      <c r="P34" s="54"/>
      <c r="Q34" s="54"/>
      <c r="R34" s="7"/>
      <c r="S34" s="7"/>
      <c r="T34" s="19"/>
      <c r="U34" s="21"/>
    </row>
    <row r="35" spans="5:21" ht="15.75" customHeight="1" x14ac:dyDescent="0.25">
      <c r="E35" s="43"/>
      <c r="F35" s="43"/>
      <c r="G35" s="43"/>
      <c r="K35" s="54" t="s">
        <v>29</v>
      </c>
      <c r="L35" s="54"/>
      <c r="M35" s="54"/>
      <c r="N35" s="54"/>
      <c r="O35" s="54"/>
      <c r="P35" s="54"/>
      <c r="Q35" s="54"/>
      <c r="R35" s="7"/>
      <c r="S35" s="7"/>
      <c r="T35" s="19"/>
      <c r="U35" s="21"/>
    </row>
    <row r="36" spans="5:21" ht="15.75" customHeight="1" x14ac:dyDescent="0.25">
      <c r="E36" s="43"/>
      <c r="F36" s="43"/>
      <c r="G36" s="43"/>
      <c r="K36" s="54" t="s">
        <v>30</v>
      </c>
      <c r="L36" s="54"/>
      <c r="M36" s="54"/>
      <c r="N36" s="54"/>
      <c r="O36" s="54"/>
      <c r="P36" s="54"/>
      <c r="Q36" s="54"/>
      <c r="R36" s="7"/>
      <c r="S36" s="7"/>
      <c r="T36" s="19"/>
      <c r="U36" s="21"/>
    </row>
    <row r="37" spans="5:21" ht="15.75" x14ac:dyDescent="0.25">
      <c r="E37" s="43"/>
      <c r="F37" s="43"/>
      <c r="G37" s="43"/>
      <c r="K37" s="54" t="s">
        <v>32</v>
      </c>
      <c r="L37" s="54"/>
      <c r="M37" s="54"/>
      <c r="N37" s="54"/>
      <c r="O37" s="54"/>
      <c r="P37" s="54"/>
      <c r="Q37" s="54"/>
      <c r="R37" s="7"/>
      <c r="S37" s="7"/>
      <c r="T37" s="19"/>
      <c r="U37" s="21"/>
    </row>
    <row r="38" spans="5:21" ht="15.75" x14ac:dyDescent="0.25">
      <c r="E38" s="43"/>
      <c r="F38" s="43"/>
      <c r="G38" s="43"/>
      <c r="K38" s="54" t="s">
        <v>33</v>
      </c>
      <c r="L38" s="54"/>
      <c r="M38" s="54"/>
      <c r="N38" s="54"/>
      <c r="O38" s="54"/>
      <c r="P38" s="54"/>
      <c r="Q38" s="54"/>
      <c r="R38" s="7"/>
      <c r="S38" s="7"/>
      <c r="T38" s="19"/>
      <c r="U38" s="21"/>
    </row>
    <row r="39" spans="5:21" ht="15.75" x14ac:dyDescent="0.25">
      <c r="K39" s="54" t="s">
        <v>34</v>
      </c>
      <c r="L39" s="54"/>
      <c r="M39" s="54"/>
      <c r="N39" s="54"/>
      <c r="O39" s="54"/>
      <c r="P39" s="54"/>
      <c r="Q39" s="54"/>
      <c r="R39" s="7"/>
      <c r="S39" s="7"/>
      <c r="T39" s="19"/>
      <c r="U39" s="21"/>
    </row>
    <row r="40" spans="5:21" ht="15.75" x14ac:dyDescent="0.25">
      <c r="K40" s="54" t="s">
        <v>35</v>
      </c>
      <c r="L40" s="54"/>
      <c r="M40" s="54"/>
      <c r="N40" s="54"/>
      <c r="O40" s="54"/>
      <c r="P40" s="54"/>
      <c r="Q40" s="54"/>
      <c r="R40" s="7"/>
      <c r="S40" s="7"/>
      <c r="T40" s="19"/>
      <c r="U40" s="21"/>
    </row>
    <row r="41" spans="5:21" ht="15.75" x14ac:dyDescent="0.25">
      <c r="K41" s="54" t="s">
        <v>75</v>
      </c>
      <c r="L41" s="54"/>
      <c r="M41" s="54"/>
      <c r="N41" s="54"/>
      <c r="O41" s="54"/>
      <c r="P41" s="54"/>
      <c r="Q41" s="54"/>
      <c r="R41" s="7"/>
      <c r="S41" s="28"/>
      <c r="T41" s="22" t="s">
        <v>70</v>
      </c>
      <c r="U41" s="23">
        <f>((SUM(U6:U40))/COUNTA(U6:U40))</f>
        <v>31.25</v>
      </c>
    </row>
    <row r="42" spans="5:21" x14ac:dyDescent="0.25">
      <c r="K42" s="54" t="s">
        <v>36</v>
      </c>
      <c r="L42" s="54"/>
      <c r="M42" s="54"/>
      <c r="N42" s="54"/>
      <c r="O42" s="54"/>
      <c r="P42" s="54"/>
      <c r="Q42" s="54"/>
      <c r="R42" s="7"/>
      <c r="S42" s="7"/>
    </row>
    <row r="43" spans="5:21" x14ac:dyDescent="0.25">
      <c r="K43" s="54" t="s">
        <v>31</v>
      </c>
      <c r="L43" s="54"/>
      <c r="M43" s="54"/>
      <c r="N43" s="54"/>
      <c r="O43" s="54"/>
      <c r="P43" s="54"/>
      <c r="Q43" s="54"/>
      <c r="R43" s="7"/>
      <c r="S43" s="7"/>
    </row>
    <row r="44" spans="5:21" x14ac:dyDescent="0.25">
      <c r="K44" s="54" t="s">
        <v>37</v>
      </c>
      <c r="L44" s="54"/>
      <c r="M44" s="54"/>
      <c r="N44" s="54"/>
      <c r="O44" s="54"/>
      <c r="P44" s="54"/>
      <c r="Q44" s="54"/>
      <c r="R44" s="7"/>
      <c r="S44" s="7"/>
    </row>
    <row r="45" spans="5:21" x14ac:dyDescent="0.25">
      <c r="K45" s="54" t="s">
        <v>38</v>
      </c>
      <c r="L45" s="54"/>
      <c r="M45" s="54"/>
      <c r="N45" s="54"/>
      <c r="O45" s="54"/>
      <c r="P45" s="54"/>
      <c r="Q45" s="54"/>
      <c r="R45" s="7"/>
      <c r="S45" s="7"/>
    </row>
    <row r="46" spans="5:21" x14ac:dyDescent="0.25">
      <c r="K46" s="54" t="s">
        <v>40</v>
      </c>
      <c r="L46" s="54"/>
      <c r="M46" s="54"/>
      <c r="N46" s="54"/>
      <c r="O46" s="54"/>
      <c r="P46" s="54"/>
      <c r="Q46" s="54"/>
      <c r="R46" s="7"/>
      <c r="S46" s="7"/>
    </row>
    <row r="47" spans="5:21" x14ac:dyDescent="0.25">
      <c r="K47" s="54" t="s">
        <v>39</v>
      </c>
      <c r="L47" s="54"/>
      <c r="M47" s="54"/>
      <c r="N47" s="54"/>
      <c r="O47" s="54"/>
      <c r="P47" s="54"/>
      <c r="Q47" s="54"/>
      <c r="R47" s="7"/>
      <c r="S47" s="7"/>
    </row>
    <row r="48" spans="5:21" x14ac:dyDescent="0.25">
      <c r="K48" s="54" t="s">
        <v>76</v>
      </c>
      <c r="L48" s="54"/>
      <c r="M48" s="54"/>
      <c r="N48" s="54"/>
      <c r="O48" s="54"/>
      <c r="P48" s="54"/>
      <c r="Q48" s="54"/>
      <c r="R48" s="7"/>
      <c r="S48" s="7"/>
    </row>
    <row r="49" spans="11:19" x14ac:dyDescent="0.25">
      <c r="K49" s="54" t="s">
        <v>41</v>
      </c>
      <c r="L49" s="54"/>
      <c r="M49" s="54"/>
      <c r="N49" s="54"/>
      <c r="O49" s="54"/>
      <c r="P49" s="54"/>
      <c r="Q49" s="54"/>
      <c r="R49" s="7"/>
      <c r="S49" s="7"/>
    </row>
    <row r="50" spans="11:19" x14ac:dyDescent="0.25">
      <c r="K50" s="54" t="s">
        <v>42</v>
      </c>
      <c r="L50" s="54"/>
      <c r="M50" s="54"/>
      <c r="N50" s="54"/>
      <c r="O50" s="54"/>
      <c r="P50" s="54"/>
      <c r="Q50" s="54"/>
      <c r="R50" s="7"/>
      <c r="S50" s="7"/>
    </row>
    <row r="51" spans="11:19" x14ac:dyDescent="0.25">
      <c r="K51" s="55" t="s">
        <v>43</v>
      </c>
      <c r="L51" s="56"/>
      <c r="M51" s="56"/>
      <c r="N51" s="56"/>
      <c r="O51" s="56"/>
      <c r="P51" s="56"/>
      <c r="Q51" s="57"/>
      <c r="R51" s="7"/>
      <c r="S51" s="7"/>
    </row>
    <row r="52" spans="11:19" x14ac:dyDescent="0.25">
      <c r="K52" s="55" t="s">
        <v>44</v>
      </c>
      <c r="L52" s="56"/>
      <c r="M52" s="56"/>
      <c r="N52" s="56"/>
      <c r="O52" s="56"/>
      <c r="P52" s="56"/>
      <c r="Q52" s="57"/>
      <c r="R52" s="7"/>
      <c r="S52" s="7"/>
    </row>
    <row r="53" spans="11:19" x14ac:dyDescent="0.25">
      <c r="K53" s="55" t="s">
        <v>47</v>
      </c>
      <c r="L53" s="56"/>
      <c r="M53" s="56"/>
      <c r="N53" s="56"/>
      <c r="O53" s="56"/>
      <c r="P53" s="56"/>
      <c r="Q53" s="57"/>
      <c r="R53" s="7"/>
      <c r="S53" s="7"/>
    </row>
    <row r="54" spans="11:19" x14ac:dyDescent="0.25">
      <c r="K54" s="55" t="s">
        <v>45</v>
      </c>
      <c r="L54" s="56"/>
      <c r="M54" s="56"/>
      <c r="N54" s="56"/>
      <c r="O54" s="56"/>
      <c r="P54" s="56"/>
      <c r="Q54" s="57"/>
      <c r="R54" s="7"/>
      <c r="S54" s="7"/>
    </row>
    <row r="55" spans="11:19" x14ac:dyDescent="0.25">
      <c r="K55" s="29" t="s">
        <v>46</v>
      </c>
      <c r="L55" s="29"/>
      <c r="M55" s="29"/>
      <c r="N55" s="29"/>
      <c r="O55" s="29"/>
      <c r="P55" s="29"/>
      <c r="Q55" s="29"/>
      <c r="R55" s="7"/>
      <c r="S55" s="7"/>
    </row>
    <row r="56" spans="11:19" x14ac:dyDescent="0.25">
      <c r="K56" s="55" t="s">
        <v>48</v>
      </c>
      <c r="L56" s="56"/>
      <c r="M56" s="56"/>
      <c r="N56" s="56"/>
      <c r="O56" s="56"/>
      <c r="P56" s="56"/>
      <c r="Q56" s="57"/>
      <c r="R56" s="7"/>
      <c r="S56" s="7"/>
    </row>
    <row r="57" spans="11:19" x14ac:dyDescent="0.25">
      <c r="K57" s="55" t="s">
        <v>49</v>
      </c>
      <c r="L57" s="56"/>
      <c r="M57" s="56"/>
      <c r="N57" s="56"/>
      <c r="O57" s="56"/>
      <c r="P57" s="56"/>
      <c r="Q57" s="57"/>
      <c r="R57" s="7"/>
      <c r="S57" s="7"/>
    </row>
    <row r="58" spans="11:19" x14ac:dyDescent="0.25">
      <c r="K58" s="55" t="s">
        <v>50</v>
      </c>
      <c r="L58" s="56"/>
      <c r="M58" s="56"/>
      <c r="N58" s="56"/>
      <c r="O58" s="56"/>
      <c r="P58" s="56"/>
      <c r="Q58" s="57"/>
      <c r="R58" s="7"/>
      <c r="S58" s="7"/>
    </row>
    <row r="59" spans="11:19" x14ac:dyDescent="0.25">
      <c r="K59" s="55" t="s">
        <v>51</v>
      </c>
      <c r="L59" s="56"/>
      <c r="M59" s="56"/>
      <c r="N59" s="56"/>
      <c r="O59" s="56"/>
      <c r="P59" s="56"/>
      <c r="Q59" s="57"/>
      <c r="R59" s="7"/>
      <c r="S59" s="7"/>
    </row>
    <row r="60" spans="11:19" x14ac:dyDescent="0.25">
      <c r="K60" s="55" t="s">
        <v>52</v>
      </c>
      <c r="L60" s="56"/>
      <c r="M60" s="56"/>
      <c r="N60" s="56"/>
      <c r="O60" s="56"/>
      <c r="P60" s="56"/>
      <c r="Q60" s="57"/>
      <c r="R60" s="7"/>
      <c r="S60" s="7"/>
    </row>
    <row r="61" spans="11:19" x14ac:dyDescent="0.25">
      <c r="K61" s="55" t="s">
        <v>53</v>
      </c>
      <c r="L61" s="56"/>
      <c r="M61" s="56"/>
      <c r="N61" s="56"/>
      <c r="O61" s="56"/>
      <c r="P61" s="56"/>
      <c r="Q61" s="57"/>
      <c r="R61" s="7"/>
      <c r="S61" s="7"/>
    </row>
    <row r="62" spans="11:19" x14ac:dyDescent="0.25">
      <c r="K62" s="55" t="s">
        <v>54</v>
      </c>
      <c r="L62" s="56"/>
      <c r="M62" s="56"/>
      <c r="N62" s="56"/>
      <c r="O62" s="56"/>
      <c r="P62" s="56"/>
      <c r="Q62" s="57"/>
      <c r="R62" s="7"/>
      <c r="S62" s="7"/>
    </row>
    <row r="63" spans="11:19" x14ac:dyDescent="0.25">
      <c r="K63" s="55" t="s">
        <v>55</v>
      </c>
      <c r="L63" s="56"/>
      <c r="M63" s="56"/>
      <c r="N63" s="56"/>
      <c r="O63" s="56"/>
      <c r="P63" s="56"/>
      <c r="Q63" s="57"/>
      <c r="R63" s="7"/>
      <c r="S63" s="7"/>
    </row>
    <row r="64" spans="11:19" x14ac:dyDescent="0.25">
      <c r="K64" s="55" t="s">
        <v>56</v>
      </c>
      <c r="L64" s="56"/>
      <c r="M64" s="56"/>
      <c r="N64" s="56"/>
      <c r="O64" s="56"/>
      <c r="P64" s="56"/>
      <c r="Q64" s="57"/>
      <c r="R64" s="7"/>
      <c r="S64" s="7"/>
    </row>
    <row r="65" spans="11:19" x14ac:dyDescent="0.25">
      <c r="K65" s="55" t="s">
        <v>57</v>
      </c>
      <c r="L65" s="56"/>
      <c r="M65" s="56"/>
      <c r="N65" s="56"/>
      <c r="O65" s="56"/>
      <c r="P65" s="56"/>
      <c r="Q65" s="57"/>
      <c r="R65" s="7"/>
      <c r="S65" s="7"/>
    </row>
    <row r="66" spans="11:19" x14ac:dyDescent="0.25">
      <c r="K66" s="55" t="s">
        <v>58</v>
      </c>
      <c r="L66" s="56"/>
      <c r="M66" s="56"/>
      <c r="N66" s="56"/>
      <c r="O66" s="56"/>
      <c r="P66" s="56"/>
      <c r="Q66" s="57"/>
      <c r="R66" s="7"/>
      <c r="S66" s="7"/>
    </row>
    <row r="67" spans="11:19" x14ac:dyDescent="0.25">
      <c r="K67" s="55" t="s">
        <v>59</v>
      </c>
      <c r="L67" s="56"/>
      <c r="M67" s="56"/>
      <c r="N67" s="56"/>
      <c r="O67" s="56"/>
      <c r="P67" s="56"/>
      <c r="Q67" s="57"/>
      <c r="R67" s="7"/>
      <c r="S67" s="7"/>
    </row>
    <row r="70" spans="11:19" x14ac:dyDescent="0.25">
      <c r="K70" s="77" t="s">
        <v>60</v>
      </c>
      <c r="L70" s="78"/>
      <c r="M70" s="78"/>
      <c r="N70" s="78"/>
      <c r="O70" s="78"/>
      <c r="P70" s="78"/>
      <c r="Q70" s="79"/>
      <c r="R70" s="7"/>
      <c r="S70" s="7"/>
    </row>
    <row r="71" spans="11:19" x14ac:dyDescent="0.25">
      <c r="K71" s="77" t="s">
        <v>61</v>
      </c>
      <c r="L71" s="78"/>
      <c r="M71" s="78"/>
      <c r="N71" s="78"/>
      <c r="O71" s="78"/>
      <c r="P71" s="78"/>
      <c r="Q71" s="79"/>
      <c r="R71" s="7"/>
      <c r="S71" s="7"/>
    </row>
  </sheetData>
  <mergeCells count="64">
    <mergeCell ref="Y6:AA8"/>
    <mergeCell ref="E30:G38"/>
    <mergeCell ref="E28:G29"/>
    <mergeCell ref="K70:Q70"/>
    <mergeCell ref="K71:Q71"/>
    <mergeCell ref="K67:Q67"/>
    <mergeCell ref="K66:Q66"/>
    <mergeCell ref="K56:Q56"/>
    <mergeCell ref="K57:Q57"/>
    <mergeCell ref="K58:Q58"/>
    <mergeCell ref="K59:Q59"/>
    <mergeCell ref="K60:Q60"/>
    <mergeCell ref="K61:Q61"/>
    <mergeCell ref="K62:Q62"/>
    <mergeCell ref="K63:Q63"/>
    <mergeCell ref="K64:Q64"/>
    <mergeCell ref="K65:Q65"/>
    <mergeCell ref="C11:C16"/>
    <mergeCell ref="C6:C7"/>
    <mergeCell ref="B6:B7"/>
    <mergeCell ref="F6:F7"/>
    <mergeCell ref="G23:G24"/>
    <mergeCell ref="D6:D7"/>
    <mergeCell ref="E6:E7"/>
    <mergeCell ref="K28:Q28"/>
    <mergeCell ref="K29:Q29"/>
    <mergeCell ref="K30:Q30"/>
    <mergeCell ref="K34:Q34"/>
    <mergeCell ref="K33:Q33"/>
    <mergeCell ref="K32:Q32"/>
    <mergeCell ref="K31:Q31"/>
    <mergeCell ref="K39:Q39"/>
    <mergeCell ref="K38:Q38"/>
    <mergeCell ref="K37:Q37"/>
    <mergeCell ref="K36:Q36"/>
    <mergeCell ref="K35:Q35"/>
    <mergeCell ref="K44:Q44"/>
    <mergeCell ref="K43:Q43"/>
    <mergeCell ref="K42:Q42"/>
    <mergeCell ref="K41:Q41"/>
    <mergeCell ref="K40:Q40"/>
    <mergeCell ref="K45:Q45"/>
    <mergeCell ref="K46:Q46"/>
    <mergeCell ref="K47:Q47"/>
    <mergeCell ref="K48:Q48"/>
    <mergeCell ref="K49:Q49"/>
    <mergeCell ref="K50:Q50"/>
    <mergeCell ref="K51:Q51"/>
    <mergeCell ref="K52:Q52"/>
    <mergeCell ref="K54:Q54"/>
    <mergeCell ref="K53:Q53"/>
    <mergeCell ref="K6:R6"/>
    <mergeCell ref="K7:R7"/>
    <mergeCell ref="K8:R8"/>
    <mergeCell ref="K5:R5"/>
    <mergeCell ref="K16:P16"/>
    <mergeCell ref="Y13:AA21"/>
    <mergeCell ref="K23:N23"/>
    <mergeCell ref="K24:N24"/>
    <mergeCell ref="K17:P17"/>
    <mergeCell ref="K18:P18"/>
    <mergeCell ref="K19:P19"/>
    <mergeCell ref="K21:N21"/>
    <mergeCell ref="K22:N22"/>
  </mergeCells>
  <dataValidations disablePrompts="1" count="3">
    <dataValidation type="list" allowBlank="1" showInputMessage="1" showErrorMessage="1" sqref="C11">
      <formula1>$K$70:$K$71</formula1>
    </dataValidation>
    <dataValidation type="list" allowBlank="1" showInputMessage="1" showErrorMessage="1" prompt="Selecione o tipo de cabo " sqref="D6">
      <formula1>$K$29:$K$67</formula1>
    </dataValidation>
    <dataValidation allowBlank="1" showInputMessage="1" showErrorMessage="1" promptTitle="Selecione o tipo de cabo" sqref="D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zerar">
                <anchor moveWithCells="1" sizeWithCells="1">
                  <from>
                    <xdr:col>23</xdr:col>
                    <xdr:colOff>590550</xdr:colOff>
                    <xdr:row>4</xdr:row>
                    <xdr:rowOff>790575</xdr:rowOff>
                  </from>
                  <to>
                    <xdr:col>26</xdr:col>
                    <xdr:colOff>590550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Resultados</vt:lpstr>
      <vt:lpstr>Especificações Técnicas</vt:lpstr>
      <vt:lpstr>Cálculo do esforço mecânico</vt:lpstr>
    </vt:vector>
  </TitlesOfParts>
  <Manager>Bruno Buenano</Manager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Buenano</dc:creator>
  <cp:keywords>Thiago Buenano</cp:keywords>
  <cp:lastModifiedBy>Cleane</cp:lastModifiedBy>
  <dcterms:created xsi:type="dcterms:W3CDTF">2018-02-06T17:45:42Z</dcterms:created>
  <dcterms:modified xsi:type="dcterms:W3CDTF">2019-03-12T19:56:21Z</dcterms:modified>
</cp:coreProperties>
</file>